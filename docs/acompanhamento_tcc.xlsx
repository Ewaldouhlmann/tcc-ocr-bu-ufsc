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2"/>
    <sheet name="Tarefas" sheetId="2" state="visible" r:id="rId3"/>
    <sheet name="Milestones" sheetId="3" state="visible" r:id="rId4"/>
    <sheet name="Capítulos" sheetId="4" state="visible" r:id="rId5"/>
  </sheets>
  <definedNames>
    <definedName function="false" hidden="true" localSheetId="1" name="_xlnm._FilterDatabase" vbProcedure="false">Tarefas!$A$1:$I$48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Estimativa (semestre 2026.2). Ajuste para a data oficial.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Numeração dos Objetivos Específicos da Seção 1.3 do main.tex.</t>
        </r>
      </text>
    </comment>
    <comment ref="L1" authorId="0">
      <text>
        <r>
          <rPr>
            <sz val="11"/>
            <color rgb="FF000000"/>
            <rFont val="Calibri"/>
            <family val="2"/>
            <charset val="1"/>
          </rPr>
          <t xml:space="preserve">Maior data alvo entre as tarefas do milestone (aba Tarefas).</t>
        </r>
      </text>
    </comment>
  </commentList>
</comments>
</file>

<file path=xl/sharedStrings.xml><?xml version="1.0" encoding="utf-8"?>
<sst xmlns="http://schemas.openxmlformats.org/spreadsheetml/2006/main" count="416" uniqueCount="241">
  <si>
    <t xml:space="preserve">Acompanhamento do TCC — OCR em obras literárias históricas (NUPILL/UFSC)</t>
  </si>
  <si>
    <t xml:space="preserve">Ewaldo Uhlmann · Orientador: Prof. Dr. Renato Fileto · Coorientador: Prof. Dr. Alckmar Luiz dos Santos</t>
  </si>
  <si>
    <t xml:space="preserve">Hoje</t>
  </si>
  <si>
    <t xml:space="preserve">Status das tarefas</t>
  </si>
  <si>
    <t xml:space="preserve">Qtd.</t>
  </si>
  <si>
    <t xml:space="preserve">Data da defesa (estimada)</t>
  </si>
  <si>
    <t xml:space="preserve">Concluído</t>
  </si>
  <si>
    <t xml:space="preserve">Dias até a defesa</t>
  </si>
  <si>
    <t xml:space="preserve">Em andamento</t>
  </si>
  <si>
    <t xml:space="preserve">Progresso geral (tarefas)</t>
  </si>
  <si>
    <t xml:space="preserve">Pendente</t>
  </si>
  <si>
    <t xml:space="preserve">Milestones concluídos</t>
  </si>
  <si>
    <t xml:space="preserve">Bloqueado</t>
  </si>
  <si>
    <t xml:space="preserve">Tarefas atrasadas</t>
  </si>
  <si>
    <t xml:space="preserve">Tarefas vencendo em 7 dias</t>
  </si>
  <si>
    <t xml:space="preserve">Milestones</t>
  </si>
  <si>
    <t xml:space="preserve">ID</t>
  </si>
  <si>
    <t xml:space="preserve">Milestone</t>
  </si>
  <si>
    <t xml:space="preserve">% concluído</t>
  </si>
  <si>
    <t xml:space="preserve">Status</t>
  </si>
  <si>
    <t xml:space="preserve">Data alvo</t>
  </si>
  <si>
    <t xml:space="preserve">Situação</t>
  </si>
  <si>
    <t xml:space="preserve">Como usar</t>
  </si>
  <si>
    <t xml:space="preserve">• Células amarelas são para editar: Status, Data alvo e Concluída em (aba Tarefas), Status (aba Capítulos) e a data da defesa (B5).</t>
  </si>
  <si>
    <t xml:space="preserve">• O progresso dos milestones, o status derivado e este painel são calculados por fórmula a partir da aba Tarefas — não edite essas colunas.</t>
  </si>
  <si>
    <t xml:space="preserve">• Para adicionar uma tarefa, preencha uma nova linha na aba Tarefas escolhendo o Milestone na lista (fórmulas cobrem até a linha 200).</t>
  </si>
  <si>
    <t xml:space="preserve">• Status de um milestone: Concluído se todas as tarefas estão concluídas; Bloqueado se alguma está bloqueada; Em andamento se alguma começou.</t>
  </si>
  <si>
    <t xml:space="preserve">• Status iniciais baseados no main.tex e no código em 25/09/2026. Datas alvo de outubro a dezembro são estimativas — ajuste ao calendário oficial.</t>
  </si>
  <si>
    <t xml:space="preserve">Tarefa</t>
  </si>
  <si>
    <t xml:space="preserve">Tipo</t>
  </si>
  <si>
    <t xml:space="preserve">Concluída em</t>
  </si>
  <si>
    <t xml:space="preserve">Evidência / Observações</t>
  </si>
  <si>
    <t xml:space="preserve">T01</t>
  </si>
  <si>
    <t xml:space="preserve">M1</t>
  </si>
  <si>
    <t xml:space="preserve">Escrever Cap. 2 – Fundamentação Teórica</t>
  </si>
  <si>
    <t xml:space="preserve">Escrita</t>
  </si>
  <si>
    <t xml:space="preserve">main.tex</t>
  </si>
  <si>
    <t xml:space="preserve">T02</t>
  </si>
  <si>
    <t xml:space="preserve">Escrever Cap. 3 – Trabalhos Relacionados</t>
  </si>
  <si>
    <t xml:space="preserve">T03</t>
  </si>
  <si>
    <t xml:space="preserve">Montar referencias.bib (ABNT)</t>
  </si>
  <si>
    <t xml:space="preserve">escrita tcc/referencias.bib</t>
  </si>
  <si>
    <t xml:space="preserve">T04</t>
  </si>
  <si>
    <t xml:space="preserve">M2</t>
  </si>
  <si>
    <t xml:space="preserve">Selecionar obras e 20 páginas (5 fáceis, 8 médias, 7 difíceis)</t>
  </si>
  <si>
    <t xml:space="preserve">Dados</t>
  </si>
  <si>
    <t xml:space="preserve">Cap. 4, Tabela de páginas</t>
  </si>
  <si>
    <t xml:space="preserve">T05</t>
  </si>
  <si>
    <t xml:space="preserve">Criar manifest.csv com obra/página/dificuldade</t>
  </si>
  <si>
    <t xml:space="preserve">Código</t>
  </si>
  <si>
    <t xml:space="preserve">benchmark/ground_truth/manifest.csv</t>
  </si>
  <si>
    <t xml:space="preserve">T06</t>
  </si>
  <si>
    <t xml:space="preserve">Obter PDFs das 5 obras e salvar em data/corpus/pdfs/</t>
  </si>
  <si>
    <t xml:space="preserve">Pasta não existe localmente — confirmar com NUPILL</t>
  </si>
  <si>
    <t xml:space="preserve">T07</t>
  </si>
  <si>
    <t xml:space="preserve">Converter as 20 páginas da amostra em PNG (300 DPI)</t>
  </si>
  <si>
    <t xml:space="preserve">converter.py pronto; falta executar</t>
  </si>
  <si>
    <t xml:space="preserve">T08</t>
  </si>
  <si>
    <t xml:space="preserve">Transcrever manualmente as 20 páginas (.txt)</t>
  </si>
  <si>
    <t xml:space="preserve">Cap. 4 descreve como feito, mas não há .txt no repo — marcar Concluído se já existir fora dele</t>
  </si>
  <si>
    <t xml:space="preserve">T09</t>
  </si>
  <si>
    <t xml:space="preserve">Validação das transcrições pelo Prof. Alckmar</t>
  </si>
  <si>
    <t xml:space="preserve">Validação</t>
  </si>
  <si>
    <t xml:space="preserve">Divergências resolvidas por consenso (Cap. 4)</t>
  </si>
  <si>
    <t xml:space="preserve">T10</t>
  </si>
  <si>
    <t xml:space="preserve">M3</t>
  </si>
  <si>
    <t xml:space="preserve">Implementar os 13 adaptadores OCR (BaseOCR)</t>
  </si>
  <si>
    <t xml:space="preserve">src/ocr/</t>
  </si>
  <si>
    <t xml:space="preserve">T11</t>
  </si>
  <si>
    <t xml:space="preserve">MODEL_REGISTRY + requirements.txt + .env.example</t>
  </si>
  <si>
    <t xml:space="preserve">src/ocr/__init__.py</t>
  </si>
  <si>
    <t xml:space="preserve">T12</t>
  </si>
  <si>
    <t xml:space="preserve">Remover .env do versionamento (git rm --cached)</t>
  </si>
  <si>
    <t xml:space="preserve">.env ainda é rastreado pelo git</t>
  </si>
  <si>
    <t xml:space="preserve">T13</t>
  </si>
  <si>
    <t xml:space="preserve">Instalar Ollama e baixar Qwen2.5-VL, Gemma 4, DeepSeek-VL2</t>
  </si>
  <si>
    <t xml:space="preserve">Ambiente</t>
  </si>
  <si>
    <t xml:space="preserve">Confirmar tags exatas</t>
  </si>
  <si>
    <t xml:space="preserve">T14</t>
  </si>
  <si>
    <t xml:space="preserve">Configurar chaves de API (LlamaParse, Mistral, Gemini)</t>
  </si>
  <si>
    <t xml:space="preserve">Gemini 2.0 Flash descontinuado em jun./2026 — avaliar substituto</t>
  </si>
  <si>
    <t xml:space="preserve">T15</t>
  </si>
  <si>
    <t xml:space="preserve">Análise qualitativa preliminar (5 páginas)</t>
  </si>
  <si>
    <t xml:space="preserve">Cap. 5, Observações Qualitativas</t>
  </si>
  <si>
    <t xml:space="preserve">T16</t>
  </si>
  <si>
    <t xml:space="preserve">M4</t>
  </si>
  <si>
    <t xml:space="preserve">Implementar run_benchmark.py + metrics.py (CER/WER)</t>
  </si>
  <si>
    <t xml:space="preserve">benchmark/</t>
  </si>
  <si>
    <t xml:space="preserve">T17</t>
  </si>
  <si>
    <t xml:space="preserve">Métricas de custo (tempo, RAM/GPU, tokens) + export Excel</t>
  </si>
  <si>
    <t xml:space="preserve">Testado só com modelo falso</t>
  </si>
  <si>
    <t xml:space="preserve">T18</t>
  </si>
  <si>
    <t xml:space="preserve">Rodar benchmark: 20 páginas × todos os modelos</t>
  </si>
  <si>
    <t xml:space="preserve">Experimento</t>
  </si>
  <si>
    <t xml:space="preserve">Depende de M2 e M3</t>
  </si>
  <si>
    <t xml:space="preserve">T19</t>
  </si>
  <si>
    <t xml:space="preserve">Analisar CER/WER por classe de dificuldade</t>
  </si>
  <si>
    <t xml:space="preserve">Análise</t>
  </si>
  <si>
    <t xml:space="preserve">T20</t>
  </si>
  <si>
    <t xml:space="preserve">Medir modernização ortográfica dos VLMs (grafias arcaicas, s longo)</t>
  </si>
  <si>
    <t xml:space="preserve">Limitação apontada por Vesalainen et al.</t>
  </si>
  <si>
    <t xml:space="preserve">T21</t>
  </si>
  <si>
    <t xml:space="preserve">M5</t>
  </si>
  <si>
    <t xml:space="preserve">Triagem por custo financeiro/computacional</t>
  </si>
  <si>
    <t xml:space="preserve">Cap. 5, Fase 2</t>
  </si>
  <si>
    <t xml:space="preserve">T22</t>
  </si>
  <si>
    <t xml:space="preserve">Seleção preliminar do Qwen2.5-VL (baseada em literatura)</t>
  </si>
  <si>
    <t xml:space="preserve">T23</t>
  </si>
  <si>
    <t xml:space="preserve">Confirmar (ou revisar) a seleção com os resultados do benchmark próprio</t>
  </si>
  <si>
    <t xml:space="preserve">Tabela atual usa CER/WER da literatura</t>
  </si>
  <si>
    <t xml:space="preserve">T24</t>
  </si>
  <si>
    <t xml:space="preserve">Atualizar tabela comparativa com CER/WER medidos</t>
  </si>
  <si>
    <t xml:space="preserve">T25</t>
  </si>
  <si>
    <t xml:space="preserve">M6</t>
  </si>
  <si>
    <t xml:space="preserve">Conversão PDF → PNG (converter.py)</t>
  </si>
  <si>
    <t xml:space="preserve">src/pipeline/converter.py</t>
  </si>
  <si>
    <t xml:space="preserve">T26</t>
  </si>
  <si>
    <t xml:space="preserve">Implementar run_extraction em extractor.py</t>
  </si>
  <si>
    <t xml:space="preserve">Ainda é NotImplementedError</t>
  </si>
  <si>
    <t xml:space="preserve">T27</t>
  </si>
  <si>
    <t xml:space="preserve">Implementar pós-processamento (postprocessing/cleaner.py)</t>
  </si>
  <si>
    <t xml:space="preserve">Arquivo citado no README, mas não existe</t>
  </si>
  <si>
    <t xml:space="preserve">T28</t>
  </si>
  <si>
    <t xml:space="preserve">Logging, tratamento de erros e retomada de execução</t>
  </si>
  <si>
    <t xml:space="preserve">Necessário para as 1.043 págs. de O Feliz Independente</t>
  </si>
  <si>
    <t xml:space="preserve">T29</t>
  </si>
  <si>
    <t xml:space="preserve">Salvar resultados em data/results/{livro}/{pagina}/qwen25vl.txt</t>
  </si>
  <si>
    <t xml:space="preserve">Estrutura definida no Cap. 5</t>
  </si>
  <si>
    <t xml:space="preserve">T30</t>
  </si>
  <si>
    <t xml:space="preserve">M7</t>
  </si>
  <si>
    <t xml:space="preserve">Rodar pipeline na amostra e comparar com a regra ouro</t>
  </si>
  <si>
    <t xml:space="preserve">Fase 4</t>
  </si>
  <si>
    <t xml:space="preserve">T31</t>
  </si>
  <si>
    <t xml:space="preserve">Classificar padrões de erro sistemáticos</t>
  </si>
  <si>
    <t xml:space="preserve">T32</t>
  </si>
  <si>
    <t xml:space="preserve">Propor recomendações de pós-processamento</t>
  </si>
  <si>
    <t xml:space="preserve">T33</t>
  </si>
  <si>
    <t xml:space="preserve">M8</t>
  </si>
  <si>
    <t xml:space="preserve">Converter as 5 obras completas (1.770 págs.)</t>
  </si>
  <si>
    <t xml:space="preserve">T34</t>
  </si>
  <si>
    <t xml:space="preserve">Executar pipeline no corpus completo</t>
  </si>
  <si>
    <t xml:space="preserve">Registrar tempo total e custo</t>
  </si>
  <si>
    <t xml:space="preserve">T35</t>
  </si>
  <si>
    <t xml:space="preserve">Estimar taxa de erro em larga escala</t>
  </si>
  <si>
    <t xml:space="preserve">T36</t>
  </si>
  <si>
    <t xml:space="preserve">Entregar textos extraídos ao NUPILL</t>
  </si>
  <si>
    <t xml:space="preserve">Entrega</t>
  </si>
  <si>
    <t xml:space="preserve">T37</t>
  </si>
  <si>
    <t xml:space="preserve">M9</t>
  </si>
  <si>
    <t xml:space="preserve">Cap. 5: escrever Fases 4 e 5</t>
  </si>
  <si>
    <t xml:space="preserve">Hoje comentadas no main.tex</t>
  </si>
  <si>
    <t xml:space="preserve">T38</t>
  </si>
  <si>
    <t xml:space="preserve">Cap. 6 – Implementação e Resultados</t>
  </si>
  <si>
    <t xml:space="preserve">T39</t>
  </si>
  <si>
    <t xml:space="preserve">Cap. 7 – Discussão</t>
  </si>
  <si>
    <t xml:space="preserve">T40</t>
  </si>
  <si>
    <t xml:space="preserve">Cap. 8 – Conclusão (texto principal)</t>
  </si>
  <si>
    <t xml:space="preserve">Só Trabalhos Futuros existe</t>
  </si>
  <si>
    <t xml:space="preserve">T41</t>
  </si>
  <si>
    <t xml:space="preserve">Atualizar Resumo/Abstract com os resultados</t>
  </si>
  <si>
    <t xml:space="preserve">T42</t>
  </si>
  <si>
    <t xml:space="preserve">Diretrizes replicáveis + README do repositório</t>
  </si>
  <si>
    <t xml:space="preserve">Objetivo específico 9</t>
  </si>
  <si>
    <t xml:space="preserve">T43</t>
  </si>
  <si>
    <t xml:space="preserve">Revisão do orientador (Prof. Renato Fileto)</t>
  </si>
  <si>
    <t xml:space="preserve">T44</t>
  </si>
  <si>
    <t xml:space="preserve">M10</t>
  </si>
  <si>
    <t xml:space="preserve">Enviar versão para a banca</t>
  </si>
  <si>
    <t xml:space="preserve">Conferir prazo oficial do curso</t>
  </si>
  <si>
    <t xml:space="preserve">T45</t>
  </si>
  <si>
    <t xml:space="preserve">Preparar slides da defesa</t>
  </si>
  <si>
    <t xml:space="preserve">T46</t>
  </si>
  <si>
    <t xml:space="preserve">Defesa</t>
  </si>
  <si>
    <t xml:space="preserve">Data estimada — ajustar</t>
  </si>
  <si>
    <t xml:space="preserve">T47</t>
  </si>
  <si>
    <t xml:space="preserve">Correções da banca + depósito da versão final</t>
  </si>
  <si>
    <t xml:space="preserve">Fase</t>
  </si>
  <si>
    <t xml:space="preserve">Obj. específicos</t>
  </si>
  <si>
    <t xml:space="preserve">Entregável</t>
  </si>
  <si>
    <t xml:space="preserve">Tarefas</t>
  </si>
  <si>
    <t xml:space="preserve">Concluídas</t>
  </si>
  <si>
    <t xml:space="preserve">Bloqueadas</t>
  </si>
  <si>
    <t xml:space="preserve">Dias restantes</t>
  </si>
  <si>
    <t xml:space="preserve">TCC1</t>
  </si>
  <si>
    <t xml:space="preserve">Revisão bibliográfica e fundamentação</t>
  </si>
  <si>
    <t xml:space="preserve">1</t>
  </si>
  <si>
    <t xml:space="preserve">Caps. 2 e 3 escritos</t>
  </si>
  <si>
    <t xml:space="preserve">TCC1/TCC2</t>
  </si>
  <si>
    <t xml:space="preserve">Regra ouro (ground truth)</t>
  </si>
  <si>
    <t xml:space="preserve">3</t>
  </si>
  <si>
    <t xml:space="preserve">20 .txt validados em benchmark/ground_truth/</t>
  </si>
  <si>
    <t xml:space="preserve">Fase 1</t>
  </si>
  <si>
    <t xml:space="preserve">Configuração dos modelos e ambiente</t>
  </si>
  <si>
    <t xml:space="preserve">2</t>
  </si>
  <si>
    <t xml:space="preserve">13 adaptadores rodando (local + API)</t>
  </si>
  <si>
    <t xml:space="preserve">Benchmark quantitativo (CER/WER + custo)</t>
  </si>
  <si>
    <t xml:space="preserve">2, 4</t>
  </si>
  <si>
    <t xml:space="preserve">benchmark_resultados.xlsx com 20 págs × modelos</t>
  </si>
  <si>
    <t xml:space="preserve">Fase 2</t>
  </si>
  <si>
    <t xml:space="preserve">Seleção do modelo</t>
  </si>
  <si>
    <t xml:space="preserve">4, 5</t>
  </si>
  <si>
    <t xml:space="preserve">Seleção confirmada com métricas próprias</t>
  </si>
  <si>
    <t xml:space="preserve">Fase 3</t>
  </si>
  <si>
    <t xml:space="preserve">Pipeline de extração</t>
  </si>
  <si>
    <t xml:space="preserve">6</t>
  </si>
  <si>
    <t xml:space="preserve">extractor.py + cleaner.py funcionando via CLI</t>
  </si>
  <si>
    <t xml:space="preserve">Validação em amostra</t>
  </si>
  <si>
    <t xml:space="preserve">7, 8</t>
  </si>
  <si>
    <t xml:space="preserve">Análise de erros e recomendações de pós-processamento</t>
  </si>
  <si>
    <t xml:space="preserve">Fase 5</t>
  </si>
  <si>
    <t xml:space="preserve">Extração completa do corpus</t>
  </si>
  <si>
    <t xml:space="preserve">7</t>
  </si>
  <si>
    <t xml:space="preserve">Textos das 5 obras (1.770 págs.) entregues ao NUPILL</t>
  </si>
  <si>
    <t xml:space="preserve">Escrita do TCC2</t>
  </si>
  <si>
    <t xml:space="preserve">8, 9</t>
  </si>
  <si>
    <t xml:space="preserve">Caps. 5–8 completos e revisados</t>
  </si>
  <si>
    <t xml:space="preserve">Entrega e defesa</t>
  </si>
  <si>
    <t xml:space="preserve">—</t>
  </si>
  <si>
    <t xml:space="preserve">Defesa realizada e versão final depositada</t>
  </si>
  <si>
    <t xml:space="preserve">Cap.</t>
  </si>
  <si>
    <t xml:space="preserve">Título</t>
  </si>
  <si>
    <t xml:space="preserve">Etapa</t>
  </si>
  <si>
    <t xml:space="preserve">Observações</t>
  </si>
  <si>
    <t xml:space="preserve">Introdução</t>
  </si>
  <si>
    <t xml:space="preserve">Revisar 'Organização do Documento' ao final</t>
  </si>
  <si>
    <t xml:space="preserve">Fundamentação Teórica</t>
  </si>
  <si>
    <t xml:space="preserve">Trabalhos Relacionados</t>
  </si>
  <si>
    <t xml:space="preserve">4</t>
  </si>
  <si>
    <t xml:space="preserve">Construção da Regra Ouro</t>
  </si>
  <si>
    <t xml:space="preserve">Falta registrar resultado da validação pelo NUPILL</t>
  </si>
  <si>
    <t xml:space="preserve">5</t>
  </si>
  <si>
    <t xml:space="preserve">Metodologia Experimental</t>
  </si>
  <si>
    <t xml:space="preserve">Fases 1–3 escritas; Fases 4–5 pendentes</t>
  </si>
  <si>
    <t xml:space="preserve">Implementação e Resultados</t>
  </si>
  <si>
    <t xml:space="preserve">TCC2</t>
  </si>
  <si>
    <t xml:space="preserve">Discussão</t>
  </si>
  <si>
    <t xml:space="preserve">8</t>
  </si>
  <si>
    <t xml:space="preserve">Conclusão</t>
  </si>
  <si>
    <t xml:space="preserve">Só a seção Trabalhos Futuros existe</t>
  </si>
  <si>
    <t xml:space="preserve">Resumo / Abstract</t>
  </si>
  <si>
    <t xml:space="preserve">Atualizar com resultados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</si>
</sst>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"/>
    <numFmt numFmtId="168" formatCode="0%"/>
    <numFmt numFmtId="169" formatCode="@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DEDED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EDEDED"/>
        <bgColor rgb="FFFFF2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006100"/>
        </patternFill>
      </fill>
    </dxf>
    <dxf>
      <font>
        <name val="Arial"/>
        <charset val="1"/>
        <family val="0"/>
        <color rgb="FF0061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5B9BD5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concluído por milestone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Painel!$B$14:$B$23</c:f>
              <c:strCache>
                <c:ptCount val="10"/>
                <c:pt idx="0">
                  <c:v>Revisão bibliográfica e fundamentação</c:v>
                </c:pt>
                <c:pt idx="1">
                  <c:v>Regra ouro (ground truth)</c:v>
                </c:pt>
                <c:pt idx="2">
                  <c:v>Configuração dos modelos e ambiente</c:v>
                </c:pt>
                <c:pt idx="3">
                  <c:v>Benchmark quantitativo (CER/WER + custo)</c:v>
                </c:pt>
                <c:pt idx="4">
                  <c:v>Seleção do modelo</c:v>
                </c:pt>
                <c:pt idx="5">
                  <c:v>Pipeline de extração</c:v>
                </c:pt>
                <c:pt idx="6">
                  <c:v>Validação em amostra</c:v>
                </c:pt>
                <c:pt idx="7">
                  <c:v>Extração completa do corpus</c:v>
                </c:pt>
                <c:pt idx="8">
                  <c:v>Escrita do TCC2</c:v>
                </c:pt>
                <c:pt idx="9">
                  <c:v>Entrega e defesa</c:v>
                </c:pt>
              </c:strCache>
            </c:strRef>
          </c:cat>
          <c:val>
            <c:numRef>
              <c:f>Painel!$C$14:$C$23</c:f>
              <c:numCache>
                <c:formatCode>General</c:formatCode>
                <c:ptCount val="10"/>
                <c:pt idx="0">
                  <c:v>1</c:v>
                </c:pt>
                <c:pt idx="1">
                  <c:v>0.333333333333333</c:v>
                </c:pt>
                <c:pt idx="2">
                  <c:v>0.5</c:v>
                </c:pt>
                <c:pt idx="3">
                  <c:v>0.4</c:v>
                </c:pt>
                <c:pt idx="4">
                  <c:v>0.5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91907111"/>
        <c:axId val="80838332"/>
      </c:barChart>
      <c:catAx>
        <c:axId val="919071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38332"/>
        <c:crosses val="autoZero"/>
        <c:auto val="1"/>
        <c:lblAlgn val="ctr"/>
        <c:lblOffset val="100"/>
        <c:noMultiLvlLbl val="0"/>
      </c:catAx>
      <c:valAx>
        <c:axId val="80838332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071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14</xdr:col>
      <xdr:colOff>447840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1169532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true">TODAY()</f>
        <v>46290</v>
      </c>
      <c r="D4" s="5" t="s">
        <v>3</v>
      </c>
      <c r="E4" s="5" t="s">
        <v>4</v>
      </c>
    </row>
    <row r="5" customFormat="false" ht="15" hidden="false" customHeight="false" outlineLevel="0" collapsed="false">
      <c r="A5" s="3" t="s">
        <v>5</v>
      </c>
      <c r="B5" s="6" t="n">
        <v>46360</v>
      </c>
      <c r="D5" s="7" t="s">
        <v>6</v>
      </c>
      <c r="E5" s="8" t="n">
        <f aca="false">COUNTIF(Tarefas!E2:E200,D5)</f>
        <v>13</v>
      </c>
    </row>
    <row r="6" customFormat="false" ht="15" hidden="false" customHeight="false" outlineLevel="0" collapsed="false">
      <c r="A6" s="3" t="s">
        <v>7</v>
      </c>
      <c r="B6" s="9" t="n">
        <f aca="false">B5-B4</f>
        <v>70</v>
      </c>
      <c r="D6" s="10" t="s">
        <v>8</v>
      </c>
      <c r="E6" s="8" t="n">
        <f aca="false">COUNTIF(Tarefas!E2:E200,D6)</f>
        <v>0</v>
      </c>
    </row>
    <row r="7" customFormat="false" ht="15" hidden="false" customHeight="false" outlineLevel="0" collapsed="false">
      <c r="A7" s="3" t="s">
        <v>9</v>
      </c>
      <c r="B7" s="11" t="n">
        <f aca="false">IF(COUNTA(Tarefas!C2:C200)=0,0,COUNTIF(Tarefas!E2:E200,"Concluído")/COUNTA(Tarefas!C2:C200))</f>
        <v>0.276595744680851</v>
      </c>
      <c r="D7" s="12" t="s">
        <v>10</v>
      </c>
      <c r="E7" s="8" t="n">
        <f aca="false">COUNTIF(Tarefas!E2:E200,D7)</f>
        <v>34</v>
      </c>
    </row>
    <row r="8" customFormat="false" ht="15" hidden="false" customHeight="false" outlineLevel="0" collapsed="false">
      <c r="A8" s="3" t="s">
        <v>11</v>
      </c>
      <c r="B8" s="13" t="str">
        <f aca="false">COUNTIF(Milestones!K2:K11,"Concluído")&amp;" de "&amp;COUNTA(Milestones!A2:A11)</f>
        <v>1 de 10</v>
      </c>
      <c r="D8" s="14" t="s">
        <v>12</v>
      </c>
      <c r="E8" s="8" t="n">
        <f aca="false">COUNTIF(Tarefas!E2:E200,D8)</f>
        <v>0</v>
      </c>
    </row>
    <row r="9" customFormat="false" ht="15" hidden="false" customHeight="false" outlineLevel="0" collapsed="false">
      <c r="A9" s="3" t="s">
        <v>13</v>
      </c>
      <c r="B9" s="9" t="n">
        <f aca="false">COUNTIF(Tarefas!H2:H200,"Atrasada")</f>
        <v>0</v>
      </c>
    </row>
    <row r="10" customFormat="false" ht="15" hidden="false" customHeight="false" outlineLevel="0" collapsed="false">
      <c r="A10" s="3" t="s">
        <v>14</v>
      </c>
      <c r="B10" s="9" t="n">
        <f aca="false">COUNTIF(Tarefas!H2:H200,"Vence em 7 dias")</f>
        <v>5</v>
      </c>
    </row>
    <row r="12" customFormat="false" ht="15" hidden="false" customHeight="false" outlineLevel="0" collapsed="false">
      <c r="A12" s="15" t="s">
        <v>15</v>
      </c>
    </row>
    <row r="13" customFormat="false" ht="15" hidden="false" customHeight="false" outlineLevel="0" collapsed="false">
      <c r="A13" s="16" t="s">
        <v>16</v>
      </c>
      <c r="B13" s="16" t="s">
        <v>17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customFormat="false" ht="15" hidden="false" customHeight="false" outlineLevel="0" collapsed="false">
      <c r="A14" s="17" t="str">
        <f aca="false">Milestones!A2</f>
        <v>M1</v>
      </c>
      <c r="B14" s="17" t="str">
        <f aca="false">Milestones!C2</f>
        <v>Revisão bibliográfica e fundamentação</v>
      </c>
      <c r="C14" s="18" t="n">
        <f aca="false">Milestones!J2</f>
        <v>1</v>
      </c>
      <c r="D14" s="17" t="str">
        <f aca="false">Milestones!K2</f>
        <v>Concluído</v>
      </c>
      <c r="E14" s="19" t="n">
        <f aca="false">Milestones!L2</f>
        <v>46203</v>
      </c>
      <c r="F14" s="17" t="str">
        <f aca="false">Milestones!N2</f>
        <v>Concluído</v>
      </c>
    </row>
    <row r="15" customFormat="false" ht="15" hidden="false" customHeight="false" outlineLevel="0" collapsed="false">
      <c r="A15" s="17" t="str">
        <f aca="false">Milestones!A3</f>
        <v>M2</v>
      </c>
      <c r="B15" s="17" t="str">
        <f aca="false">Milestones!C3</f>
        <v>Regra ouro (ground truth)</v>
      </c>
      <c r="C15" s="18" t="n">
        <f aca="false">Milestones!J3</f>
        <v>0.333333333333333</v>
      </c>
      <c r="D15" s="17" t="str">
        <f aca="false">Milestones!K3</f>
        <v>Em andamento</v>
      </c>
      <c r="E15" s="19" t="n">
        <f aca="false">Milestones!L3</f>
        <v>46311</v>
      </c>
      <c r="F15" s="17" t="str">
        <f aca="false">Milestones!N3</f>
        <v>No prazo</v>
      </c>
    </row>
    <row r="16" customFormat="false" ht="15" hidden="false" customHeight="false" outlineLevel="0" collapsed="false">
      <c r="A16" s="17" t="str">
        <f aca="false">Milestones!A4</f>
        <v>M3</v>
      </c>
      <c r="B16" s="17" t="str">
        <f aca="false">Milestones!C4</f>
        <v>Configuração dos modelos e ambiente</v>
      </c>
      <c r="C16" s="18" t="n">
        <f aca="false">Milestones!J4</f>
        <v>0.5</v>
      </c>
      <c r="D16" s="17" t="str">
        <f aca="false">Milestones!K4</f>
        <v>Em andamento</v>
      </c>
      <c r="E16" s="19" t="n">
        <f aca="false">Milestones!L4</f>
        <v>46297</v>
      </c>
      <c r="F16" s="17" t="str">
        <f aca="false">Milestones!N4</f>
        <v>Atenção</v>
      </c>
    </row>
    <row r="17" customFormat="false" ht="15" hidden="false" customHeight="false" outlineLevel="0" collapsed="false">
      <c r="A17" s="17" t="str">
        <f aca="false">Milestones!A5</f>
        <v>M4</v>
      </c>
      <c r="B17" s="17" t="str">
        <f aca="false">Milestones!C5</f>
        <v>Benchmark quantitativo (CER/WER + custo)</v>
      </c>
      <c r="C17" s="18" t="n">
        <f aca="false">Milestones!J5</f>
        <v>0.4</v>
      </c>
      <c r="D17" s="17" t="str">
        <f aca="false">Milestones!K5</f>
        <v>Em andamento</v>
      </c>
      <c r="E17" s="19" t="n">
        <f aca="false">Milestones!L5</f>
        <v>46318</v>
      </c>
      <c r="F17" s="17" t="str">
        <f aca="false">Milestones!N5</f>
        <v>No prazo</v>
      </c>
    </row>
    <row r="18" customFormat="false" ht="15" hidden="false" customHeight="false" outlineLevel="0" collapsed="false">
      <c r="A18" s="17" t="str">
        <f aca="false">Milestones!A6</f>
        <v>M5</v>
      </c>
      <c r="B18" s="17" t="str">
        <f aca="false">Milestones!C6</f>
        <v>Seleção do modelo</v>
      </c>
      <c r="C18" s="18" t="n">
        <f aca="false">Milestones!J6</f>
        <v>0.5</v>
      </c>
      <c r="D18" s="17" t="str">
        <f aca="false">Milestones!K6</f>
        <v>Em andamento</v>
      </c>
      <c r="E18" s="19" t="n">
        <f aca="false">Milestones!L6</f>
        <v>46322</v>
      </c>
      <c r="F18" s="17" t="str">
        <f aca="false">Milestones!N6</f>
        <v>No prazo</v>
      </c>
    </row>
    <row r="19" customFormat="false" ht="15" hidden="false" customHeight="false" outlineLevel="0" collapsed="false">
      <c r="A19" s="17" t="str">
        <f aca="false">Milestones!A7</f>
        <v>M6</v>
      </c>
      <c r="B19" s="17" t="str">
        <f aca="false">Milestones!C7</f>
        <v>Pipeline de extração</v>
      </c>
      <c r="C19" s="18" t="n">
        <f aca="false">Milestones!J7</f>
        <v>0.2</v>
      </c>
      <c r="D19" s="17" t="str">
        <f aca="false">Milestones!K7</f>
        <v>Em andamento</v>
      </c>
      <c r="E19" s="19" t="n">
        <f aca="false">Milestones!L7</f>
        <v>46318</v>
      </c>
      <c r="F19" s="17" t="str">
        <f aca="false">Milestones!N7</f>
        <v>No prazo</v>
      </c>
    </row>
    <row r="20" customFormat="false" ht="15" hidden="false" customHeight="false" outlineLevel="0" collapsed="false">
      <c r="A20" s="17" t="str">
        <f aca="false">Milestones!A8</f>
        <v>M7</v>
      </c>
      <c r="B20" s="17" t="str">
        <f aca="false">Milestones!C8</f>
        <v>Validação em amostra</v>
      </c>
      <c r="C20" s="18" t="n">
        <f aca="false">Milestones!J8</f>
        <v>0</v>
      </c>
      <c r="D20" s="17" t="str">
        <f aca="false">Milestones!K8</f>
        <v>Pendente</v>
      </c>
      <c r="E20" s="19" t="n">
        <f aca="false">Milestones!L8</f>
        <v>46329</v>
      </c>
      <c r="F20" s="17" t="str">
        <f aca="false">Milestones!N8</f>
        <v>No prazo</v>
      </c>
    </row>
    <row r="21" customFormat="false" ht="15" hidden="false" customHeight="false" outlineLevel="0" collapsed="false">
      <c r="A21" s="17" t="str">
        <f aca="false">Milestones!A9</f>
        <v>M8</v>
      </c>
      <c r="B21" s="17" t="str">
        <f aca="false">Milestones!C9</f>
        <v>Extração completa do corpus</v>
      </c>
      <c r="C21" s="18" t="n">
        <f aca="false">Milestones!J9</f>
        <v>0</v>
      </c>
      <c r="D21" s="17" t="str">
        <f aca="false">Milestones!K9</f>
        <v>Pendente</v>
      </c>
      <c r="E21" s="19" t="n">
        <f aca="false">Milestones!L9</f>
        <v>46339</v>
      </c>
      <c r="F21" s="17" t="str">
        <f aca="false">Milestones!N9</f>
        <v>No prazo</v>
      </c>
    </row>
    <row r="22" customFormat="false" ht="15" hidden="false" customHeight="false" outlineLevel="0" collapsed="false">
      <c r="A22" s="17" t="str">
        <f aca="false">Milestones!A10</f>
        <v>M9</v>
      </c>
      <c r="B22" s="17" t="str">
        <f aca="false">Milestones!C10</f>
        <v>Escrita do TCC2</v>
      </c>
      <c r="C22" s="18" t="n">
        <f aca="false">Milestones!J10</f>
        <v>0</v>
      </c>
      <c r="D22" s="17" t="str">
        <f aca="false">Milestones!K10</f>
        <v>Pendente</v>
      </c>
      <c r="E22" s="19" t="n">
        <f aca="false">Milestones!L10</f>
        <v>46349</v>
      </c>
      <c r="F22" s="17" t="str">
        <f aca="false">Milestones!N10</f>
        <v>No prazo</v>
      </c>
    </row>
    <row r="23" customFormat="false" ht="15" hidden="false" customHeight="false" outlineLevel="0" collapsed="false">
      <c r="A23" s="17" t="str">
        <f aca="false">Milestones!A11</f>
        <v>M10</v>
      </c>
      <c r="B23" s="17" t="str">
        <f aca="false">Milestones!C11</f>
        <v>Entrega e defesa</v>
      </c>
      <c r="C23" s="18" t="n">
        <f aca="false">Milestones!J11</f>
        <v>0</v>
      </c>
      <c r="D23" s="17" t="str">
        <f aca="false">Milestones!K11</f>
        <v>Pendente</v>
      </c>
      <c r="E23" s="19" t="n">
        <f aca="false">Milestones!L11</f>
        <v>46367</v>
      </c>
      <c r="F23" s="17" t="str">
        <f aca="false">Milestones!N11</f>
        <v>No prazo</v>
      </c>
    </row>
    <row r="25" customFormat="false" ht="15" hidden="false" customHeight="false" outlineLevel="0" collapsed="false">
      <c r="A25" s="15" t="s">
        <v>22</v>
      </c>
    </row>
    <row r="26" customFormat="false" ht="15" hidden="false" customHeight="false" outlineLevel="0" collapsed="false">
      <c r="A26" s="20" t="s">
        <v>23</v>
      </c>
    </row>
    <row r="27" customFormat="false" ht="15" hidden="false" customHeight="false" outlineLevel="0" collapsed="false">
      <c r="A27" s="20" t="s">
        <v>24</v>
      </c>
    </row>
    <row r="28" customFormat="false" ht="15" hidden="false" customHeight="false" outlineLevel="0" collapsed="false">
      <c r="A28" s="20" t="s">
        <v>25</v>
      </c>
    </row>
    <row r="29" customFormat="false" ht="15" hidden="false" customHeight="false" outlineLevel="0" collapsed="false">
      <c r="A29" s="20" t="s">
        <v>26</v>
      </c>
    </row>
    <row r="30" customFormat="false" ht="15" hidden="false" customHeight="false" outlineLevel="0" collapsed="false">
      <c r="A30" s="20" t="s">
        <v>27</v>
      </c>
    </row>
  </sheetData>
  <conditionalFormatting sqref="B9">
    <cfRule type="cellIs" priority="2" operator="greaterThan" aboveAverage="0" equalAverage="0" bottom="0" percent="0" rank="0" text="" dxfId="0">
      <formula>0</formula>
    </cfRule>
  </conditionalFormatting>
  <conditionalFormatting sqref="B7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{6085D4D4-E569-4B97-8B97-6FC75DE017B1}</x14:id>
        </ext>
      </extLst>
    </cfRule>
  </conditionalFormatting>
  <conditionalFormatting sqref="C14:C23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{EDEA10B8-B4F4-4E6D-81A0-83AC6D86E04A}</x14:id>
        </ext>
      </extLst>
    </cfRule>
  </conditionalFormatting>
  <conditionalFormatting sqref="D14:D23">
    <cfRule type="cellIs" priority="5" operator="equal" aboveAverage="0" equalAverage="0" bottom="0" percent="0" rank="0" text="" dxfId="1">
      <formula>"Concluído"</formula>
    </cfRule>
    <cfRule type="cellIs" priority="6" operator="equal" aboveAverage="0" equalAverage="0" bottom="0" percent="0" rank="0" text="" dxfId="2">
      <formula>"Em andamento"</formula>
    </cfRule>
    <cfRule type="cellIs" priority="7" operator="equal" aboveAverage="0" equalAverage="0" bottom="0" percent="0" rank="0" text="" dxfId="3">
      <formula>"Pendente"</formula>
    </cfRule>
    <cfRule type="cellIs" priority="8" operator="equal" aboveAverage="0" equalAverage="0" bottom="0" percent="0" rank="0" text="" dxfId="4">
      <formula>"Bloqueado"</formula>
    </cfRule>
  </conditionalFormatting>
  <conditionalFormatting sqref="F14:F23">
    <cfRule type="cellIs" priority="9" operator="equal" aboveAverage="0" equalAverage="0" bottom="0" percent="0" rank="0" text="" dxfId="4">
      <formula>"Atrasado"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85D4D4-E569-4B97-8B97-6FC75DE017B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EDEA10B8-B4F4-4E6D-81A0-83AC6D86E04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C14:C23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16" t="s">
        <v>16</v>
      </c>
      <c r="B1" s="16" t="s">
        <v>17</v>
      </c>
      <c r="C1" s="16" t="s">
        <v>28</v>
      </c>
      <c r="D1" s="16" t="s">
        <v>29</v>
      </c>
      <c r="E1" s="16" t="s">
        <v>19</v>
      </c>
      <c r="F1" s="16" t="s">
        <v>20</v>
      </c>
      <c r="G1" s="16" t="s">
        <v>30</v>
      </c>
      <c r="H1" s="16" t="s">
        <v>21</v>
      </c>
      <c r="I1" s="16" t="s">
        <v>31</v>
      </c>
    </row>
    <row r="2" customFormat="false" ht="15" hidden="false" customHeight="false" outlineLevel="0" collapsed="false">
      <c r="A2" s="21" t="s">
        <v>32</v>
      </c>
      <c r="B2" s="21" t="s">
        <v>33</v>
      </c>
      <c r="C2" s="21" t="s">
        <v>34</v>
      </c>
      <c r="D2" s="21" t="s">
        <v>35</v>
      </c>
      <c r="E2" s="22" t="s">
        <v>6</v>
      </c>
      <c r="F2" s="23" t="n">
        <v>46203</v>
      </c>
      <c r="G2" s="23"/>
      <c r="H2" s="21" t="str">
        <f aca="true">IF(E2="Concluído","Concluída",IF(F2="","",IF(F2&lt;TODAY(),"Atrasada",IF(F2-TODAY()&lt;=7,"Vence em 7 dias","No prazo"))))</f>
        <v>Concluída</v>
      </c>
      <c r="I2" s="21" t="s">
        <v>36</v>
      </c>
    </row>
    <row r="3" customFormat="false" ht="15" hidden="false" customHeight="false" outlineLevel="0" collapsed="false">
      <c r="A3" s="21" t="s">
        <v>37</v>
      </c>
      <c r="B3" s="21" t="s">
        <v>33</v>
      </c>
      <c r="C3" s="21" t="s">
        <v>38</v>
      </c>
      <c r="D3" s="21" t="s">
        <v>35</v>
      </c>
      <c r="E3" s="22" t="s">
        <v>6</v>
      </c>
      <c r="F3" s="23" t="n">
        <v>46203</v>
      </c>
      <c r="G3" s="23"/>
      <c r="H3" s="21" t="str">
        <f aca="true">IF(E3="Concluído","Concluída",IF(F3="","",IF(F3&lt;TODAY(),"Atrasada",IF(F3-TODAY()&lt;=7,"Vence em 7 dias","No prazo"))))</f>
        <v>Concluída</v>
      </c>
      <c r="I3" s="21" t="s">
        <v>36</v>
      </c>
    </row>
    <row r="4" customFormat="false" ht="15" hidden="false" customHeight="false" outlineLevel="0" collapsed="false">
      <c r="A4" s="21" t="s">
        <v>39</v>
      </c>
      <c r="B4" s="21" t="s">
        <v>33</v>
      </c>
      <c r="C4" s="21" t="s">
        <v>40</v>
      </c>
      <c r="D4" s="21" t="s">
        <v>35</v>
      </c>
      <c r="E4" s="22" t="s">
        <v>6</v>
      </c>
      <c r="F4" s="23" t="n">
        <v>46203</v>
      </c>
      <c r="G4" s="23"/>
      <c r="H4" s="21" t="str">
        <f aca="true">IF(E4="Concluído","Concluída",IF(F4="","",IF(F4&lt;TODAY(),"Atrasada",IF(F4-TODAY()&lt;=7,"Vence em 7 dias","No prazo"))))</f>
        <v>Concluída</v>
      </c>
      <c r="I4" s="21" t="s">
        <v>41</v>
      </c>
    </row>
    <row r="5" customFormat="false" ht="15" hidden="false" customHeight="false" outlineLevel="0" collapsed="false">
      <c r="A5" s="21" t="s">
        <v>42</v>
      </c>
      <c r="B5" s="21" t="s">
        <v>43</v>
      </c>
      <c r="C5" s="21" t="s">
        <v>44</v>
      </c>
      <c r="D5" s="21" t="s">
        <v>45</v>
      </c>
      <c r="E5" s="22" t="s">
        <v>6</v>
      </c>
      <c r="F5" s="23" t="n">
        <v>46203</v>
      </c>
      <c r="G5" s="23"/>
      <c r="H5" s="21" t="str">
        <f aca="true">IF(E5="Concluído","Concluída",IF(F5="","",IF(F5&lt;TODAY(),"Atrasada",IF(F5-TODAY()&lt;=7,"Vence em 7 dias","No prazo"))))</f>
        <v>Concluída</v>
      </c>
      <c r="I5" s="21" t="s">
        <v>46</v>
      </c>
    </row>
    <row r="6" customFormat="false" ht="15" hidden="false" customHeight="false" outlineLevel="0" collapsed="false">
      <c r="A6" s="21" t="s">
        <v>47</v>
      </c>
      <c r="B6" s="21" t="s">
        <v>43</v>
      </c>
      <c r="C6" s="21" t="s">
        <v>48</v>
      </c>
      <c r="D6" s="21" t="s">
        <v>49</v>
      </c>
      <c r="E6" s="22" t="s">
        <v>6</v>
      </c>
      <c r="F6" s="23" t="n">
        <v>46255</v>
      </c>
      <c r="G6" s="23"/>
      <c r="H6" s="21" t="str">
        <f aca="true">IF(E6="Concluído","Concluída",IF(F6="","",IF(F6&lt;TODAY(),"Atrasada",IF(F6-TODAY()&lt;=7,"Vence em 7 dias","No prazo"))))</f>
        <v>Concluída</v>
      </c>
      <c r="I6" s="21" t="s">
        <v>50</v>
      </c>
    </row>
    <row r="7" customFormat="false" ht="15" hidden="false" customHeight="false" outlineLevel="0" collapsed="false">
      <c r="A7" s="21" t="s">
        <v>51</v>
      </c>
      <c r="B7" s="21" t="s">
        <v>43</v>
      </c>
      <c r="C7" s="21" t="s">
        <v>52</v>
      </c>
      <c r="D7" s="21" t="s">
        <v>45</v>
      </c>
      <c r="E7" s="22" t="s">
        <v>10</v>
      </c>
      <c r="F7" s="23" t="n">
        <v>46297</v>
      </c>
      <c r="G7" s="23"/>
      <c r="H7" s="21" t="str">
        <f aca="true">IF(E7="Concluído","Concluída",IF(F7="","",IF(F7&lt;TODAY(),"Atrasada",IF(F7-TODAY()&lt;=7,"Vence em 7 dias","No prazo"))))</f>
        <v>Vence em 7 dias</v>
      </c>
      <c r="I7" s="21" t="s">
        <v>53</v>
      </c>
    </row>
    <row r="8" customFormat="false" ht="15" hidden="false" customHeight="false" outlineLevel="0" collapsed="false">
      <c r="A8" s="21" t="s">
        <v>54</v>
      </c>
      <c r="B8" s="21" t="s">
        <v>43</v>
      </c>
      <c r="C8" s="21" t="s">
        <v>55</v>
      </c>
      <c r="D8" s="21" t="s">
        <v>45</v>
      </c>
      <c r="E8" s="22" t="s">
        <v>10</v>
      </c>
      <c r="F8" s="23" t="n">
        <v>46297</v>
      </c>
      <c r="G8" s="23"/>
      <c r="H8" s="21" t="str">
        <f aca="true">IF(E8="Concluído","Concluída",IF(F8="","",IF(F8&lt;TODAY(),"Atrasada",IF(F8-TODAY()&lt;=7,"Vence em 7 dias","No prazo"))))</f>
        <v>Vence em 7 dias</v>
      </c>
      <c r="I8" s="21" t="s">
        <v>56</v>
      </c>
    </row>
    <row r="9" customFormat="false" ht="15" hidden="false" customHeight="false" outlineLevel="0" collapsed="false">
      <c r="A9" s="21" t="s">
        <v>57</v>
      </c>
      <c r="B9" s="21" t="s">
        <v>43</v>
      </c>
      <c r="C9" s="21" t="s">
        <v>58</v>
      </c>
      <c r="D9" s="21" t="s">
        <v>45</v>
      </c>
      <c r="E9" s="22" t="s">
        <v>10</v>
      </c>
      <c r="F9" s="23" t="n">
        <v>46304</v>
      </c>
      <c r="G9" s="23"/>
      <c r="H9" s="21" t="str">
        <f aca="true">IF(E9="Concluído","Concluída",IF(F9="","",IF(F9&lt;TODAY(),"Atrasada",IF(F9-TODAY()&lt;=7,"Vence em 7 dias","No prazo"))))</f>
        <v>No prazo</v>
      </c>
      <c r="I9" s="21" t="s">
        <v>59</v>
      </c>
    </row>
    <row r="10" customFormat="false" ht="15" hidden="false" customHeight="false" outlineLevel="0" collapsed="false">
      <c r="A10" s="21" t="s">
        <v>60</v>
      </c>
      <c r="B10" s="21" t="s">
        <v>43</v>
      </c>
      <c r="C10" s="21" t="s">
        <v>61</v>
      </c>
      <c r="D10" s="21" t="s">
        <v>62</v>
      </c>
      <c r="E10" s="22" t="s">
        <v>10</v>
      </c>
      <c r="F10" s="23" t="n">
        <v>46311</v>
      </c>
      <c r="G10" s="23"/>
      <c r="H10" s="21" t="str">
        <f aca="true">IF(E10="Concluído","Concluída",IF(F10="","",IF(F10&lt;TODAY(),"Atrasada",IF(F10-TODAY()&lt;=7,"Vence em 7 dias","No prazo"))))</f>
        <v>No prazo</v>
      </c>
      <c r="I10" s="21" t="s">
        <v>63</v>
      </c>
    </row>
    <row r="11" customFormat="false" ht="15" hidden="false" customHeight="false" outlineLevel="0" collapsed="false">
      <c r="A11" s="21" t="s">
        <v>64</v>
      </c>
      <c r="B11" s="21" t="s">
        <v>65</v>
      </c>
      <c r="C11" s="21" t="s">
        <v>66</v>
      </c>
      <c r="D11" s="21" t="s">
        <v>49</v>
      </c>
      <c r="E11" s="22" t="s">
        <v>6</v>
      </c>
      <c r="F11" s="23" t="n">
        <v>46248</v>
      </c>
      <c r="G11" s="23"/>
      <c r="H11" s="21" t="str">
        <f aca="true">IF(E11="Concluído","Concluída",IF(F11="","",IF(F11&lt;TODAY(),"Atrasada",IF(F11-TODAY()&lt;=7,"Vence em 7 dias","No prazo"))))</f>
        <v>Concluída</v>
      </c>
      <c r="I11" s="21" t="s">
        <v>67</v>
      </c>
    </row>
    <row r="12" customFormat="false" ht="15" hidden="false" customHeight="false" outlineLevel="0" collapsed="false">
      <c r="A12" s="21" t="s">
        <v>68</v>
      </c>
      <c r="B12" s="21" t="s">
        <v>65</v>
      </c>
      <c r="C12" s="21" t="s">
        <v>69</v>
      </c>
      <c r="D12" s="21" t="s">
        <v>49</v>
      </c>
      <c r="E12" s="22" t="s">
        <v>6</v>
      </c>
      <c r="F12" s="23" t="n">
        <v>46255</v>
      </c>
      <c r="G12" s="23"/>
      <c r="H12" s="21" t="str">
        <f aca="true">IF(E12="Concluído","Concluída",IF(F12="","",IF(F12&lt;TODAY(),"Atrasada",IF(F12-TODAY()&lt;=7,"Vence em 7 dias","No prazo"))))</f>
        <v>Concluída</v>
      </c>
      <c r="I12" s="21" t="s">
        <v>70</v>
      </c>
    </row>
    <row r="13" customFormat="false" ht="15" hidden="false" customHeight="false" outlineLevel="0" collapsed="false">
      <c r="A13" s="21" t="s">
        <v>71</v>
      </c>
      <c r="B13" s="21" t="s">
        <v>65</v>
      </c>
      <c r="C13" s="21" t="s">
        <v>72</v>
      </c>
      <c r="D13" s="21" t="s">
        <v>49</v>
      </c>
      <c r="E13" s="22" t="s">
        <v>10</v>
      </c>
      <c r="F13" s="23" t="n">
        <v>46295</v>
      </c>
      <c r="G13" s="23"/>
      <c r="H13" s="21" t="str">
        <f aca="true">IF(E13="Concluído","Concluída",IF(F13="","",IF(F13&lt;TODAY(),"Atrasada",IF(F13-TODAY()&lt;=7,"Vence em 7 dias","No prazo"))))</f>
        <v>Vence em 7 dias</v>
      </c>
      <c r="I13" s="21" t="s">
        <v>73</v>
      </c>
    </row>
    <row r="14" customFormat="false" ht="15" hidden="false" customHeight="false" outlineLevel="0" collapsed="false">
      <c r="A14" s="21" t="s">
        <v>74</v>
      </c>
      <c r="B14" s="21" t="s">
        <v>65</v>
      </c>
      <c r="C14" s="21" t="s">
        <v>75</v>
      </c>
      <c r="D14" s="21" t="s">
        <v>76</v>
      </c>
      <c r="E14" s="22" t="s">
        <v>10</v>
      </c>
      <c r="F14" s="23" t="n">
        <v>46297</v>
      </c>
      <c r="G14" s="23"/>
      <c r="H14" s="21" t="str">
        <f aca="true">IF(E14="Concluído","Concluída",IF(F14="","",IF(F14&lt;TODAY(),"Atrasada",IF(F14-TODAY()&lt;=7,"Vence em 7 dias","No prazo"))))</f>
        <v>Vence em 7 dias</v>
      </c>
      <c r="I14" s="21" t="s">
        <v>77</v>
      </c>
    </row>
    <row r="15" customFormat="false" ht="15" hidden="false" customHeight="false" outlineLevel="0" collapsed="false">
      <c r="A15" s="21" t="s">
        <v>78</v>
      </c>
      <c r="B15" s="21" t="s">
        <v>65</v>
      </c>
      <c r="C15" s="21" t="s">
        <v>79</v>
      </c>
      <c r="D15" s="21" t="s">
        <v>76</v>
      </c>
      <c r="E15" s="22" t="s">
        <v>10</v>
      </c>
      <c r="F15" s="23" t="n">
        <v>46297</v>
      </c>
      <c r="G15" s="23"/>
      <c r="H15" s="21" t="str">
        <f aca="true">IF(E15="Concluído","Concluída",IF(F15="","",IF(F15&lt;TODAY(),"Atrasada",IF(F15-TODAY()&lt;=7,"Vence em 7 dias","No prazo"))))</f>
        <v>Vence em 7 dias</v>
      </c>
      <c r="I15" s="21" t="s">
        <v>80</v>
      </c>
    </row>
    <row r="16" customFormat="false" ht="15" hidden="false" customHeight="false" outlineLevel="0" collapsed="false">
      <c r="A16" s="21" t="s">
        <v>81</v>
      </c>
      <c r="B16" s="21" t="s">
        <v>65</v>
      </c>
      <c r="C16" s="21" t="s">
        <v>82</v>
      </c>
      <c r="D16" s="21" t="s">
        <v>62</v>
      </c>
      <c r="E16" s="22" t="s">
        <v>6</v>
      </c>
      <c r="F16" s="23" t="n">
        <v>46203</v>
      </c>
      <c r="G16" s="23"/>
      <c r="H16" s="21" t="str">
        <f aca="true">IF(E16="Concluído","Concluída",IF(F16="","",IF(F16&lt;TODAY(),"Atrasada",IF(F16-TODAY()&lt;=7,"Vence em 7 dias","No prazo"))))</f>
        <v>Concluída</v>
      </c>
      <c r="I16" s="21" t="s">
        <v>83</v>
      </c>
    </row>
    <row r="17" customFormat="false" ht="15" hidden="false" customHeight="false" outlineLevel="0" collapsed="false">
      <c r="A17" s="21" t="s">
        <v>84</v>
      </c>
      <c r="B17" s="21" t="s">
        <v>85</v>
      </c>
      <c r="C17" s="21" t="s">
        <v>86</v>
      </c>
      <c r="D17" s="21" t="s">
        <v>49</v>
      </c>
      <c r="E17" s="22" t="s">
        <v>6</v>
      </c>
      <c r="F17" s="23" t="n">
        <v>46255</v>
      </c>
      <c r="G17" s="23"/>
      <c r="H17" s="21" t="str">
        <f aca="true">IF(E17="Concluído","Concluída",IF(F17="","",IF(F17&lt;TODAY(),"Atrasada",IF(F17-TODAY()&lt;=7,"Vence em 7 dias","No prazo"))))</f>
        <v>Concluída</v>
      </c>
      <c r="I17" s="21" t="s">
        <v>87</v>
      </c>
    </row>
    <row r="18" customFormat="false" ht="15" hidden="false" customHeight="false" outlineLevel="0" collapsed="false">
      <c r="A18" s="21" t="s">
        <v>88</v>
      </c>
      <c r="B18" s="21" t="s">
        <v>85</v>
      </c>
      <c r="C18" s="21" t="s">
        <v>89</v>
      </c>
      <c r="D18" s="21" t="s">
        <v>49</v>
      </c>
      <c r="E18" s="22" t="s">
        <v>6</v>
      </c>
      <c r="F18" s="23" t="n">
        <v>46255</v>
      </c>
      <c r="G18" s="23"/>
      <c r="H18" s="21" t="str">
        <f aca="true">IF(E18="Concluído","Concluída",IF(F18="","",IF(F18&lt;TODAY(),"Atrasada",IF(F18-TODAY()&lt;=7,"Vence em 7 dias","No prazo"))))</f>
        <v>Concluída</v>
      </c>
      <c r="I18" s="21" t="s">
        <v>90</v>
      </c>
    </row>
    <row r="19" customFormat="false" ht="15" hidden="false" customHeight="false" outlineLevel="0" collapsed="false">
      <c r="A19" s="21" t="s">
        <v>91</v>
      </c>
      <c r="B19" s="21" t="s">
        <v>85</v>
      </c>
      <c r="C19" s="21" t="s">
        <v>92</v>
      </c>
      <c r="D19" s="21" t="s">
        <v>93</v>
      </c>
      <c r="E19" s="22" t="s">
        <v>10</v>
      </c>
      <c r="F19" s="23" t="n">
        <v>46315</v>
      </c>
      <c r="G19" s="23"/>
      <c r="H19" s="21" t="str">
        <f aca="true">IF(E19="Concluído","Concluída",IF(F19="","",IF(F19&lt;TODAY(),"Atrasada",IF(F19-TODAY()&lt;=7,"Vence em 7 dias","No prazo"))))</f>
        <v>No prazo</v>
      </c>
      <c r="I19" s="21" t="s">
        <v>94</v>
      </c>
    </row>
    <row r="20" customFormat="false" ht="15" hidden="false" customHeight="false" outlineLevel="0" collapsed="false">
      <c r="A20" s="21" t="s">
        <v>95</v>
      </c>
      <c r="B20" s="21" t="s">
        <v>85</v>
      </c>
      <c r="C20" s="21" t="s">
        <v>96</v>
      </c>
      <c r="D20" s="21" t="s">
        <v>97</v>
      </c>
      <c r="E20" s="22" t="s">
        <v>10</v>
      </c>
      <c r="F20" s="23" t="n">
        <v>46318</v>
      </c>
      <c r="G20" s="23"/>
      <c r="H20" s="21" t="str">
        <f aca="true">IF(E20="Concluído","Concluída",IF(F20="","",IF(F20&lt;TODAY(),"Atrasada",IF(F20-TODAY()&lt;=7,"Vence em 7 dias","No prazo"))))</f>
        <v>No prazo</v>
      </c>
      <c r="I20" s="21"/>
    </row>
    <row r="21" customFormat="false" ht="15" hidden="false" customHeight="false" outlineLevel="0" collapsed="false">
      <c r="A21" s="21" t="s">
        <v>98</v>
      </c>
      <c r="B21" s="21" t="s">
        <v>85</v>
      </c>
      <c r="C21" s="21" t="s">
        <v>99</v>
      </c>
      <c r="D21" s="21" t="s">
        <v>97</v>
      </c>
      <c r="E21" s="22" t="s">
        <v>10</v>
      </c>
      <c r="F21" s="23" t="n">
        <v>46318</v>
      </c>
      <c r="G21" s="23"/>
      <c r="H21" s="21" t="str">
        <f aca="true">IF(E21="Concluído","Concluída",IF(F21="","",IF(F21&lt;TODAY(),"Atrasada",IF(F21-TODAY()&lt;=7,"Vence em 7 dias","No prazo"))))</f>
        <v>No prazo</v>
      </c>
      <c r="I21" s="21" t="s">
        <v>100</v>
      </c>
    </row>
    <row r="22" customFormat="false" ht="15" hidden="false" customHeight="false" outlineLevel="0" collapsed="false">
      <c r="A22" s="21" t="s">
        <v>101</v>
      </c>
      <c r="B22" s="21" t="s">
        <v>102</v>
      </c>
      <c r="C22" s="21" t="s">
        <v>103</v>
      </c>
      <c r="D22" s="21" t="s">
        <v>35</v>
      </c>
      <c r="E22" s="22" t="s">
        <v>6</v>
      </c>
      <c r="F22" s="23" t="n">
        <v>46203</v>
      </c>
      <c r="G22" s="23"/>
      <c r="H22" s="21" t="str">
        <f aca="true">IF(E22="Concluído","Concluída",IF(F22="","",IF(F22&lt;TODAY(),"Atrasada",IF(F22-TODAY()&lt;=7,"Vence em 7 dias","No prazo"))))</f>
        <v>Concluída</v>
      </c>
      <c r="I22" s="21" t="s">
        <v>104</v>
      </c>
    </row>
    <row r="23" customFormat="false" ht="15" hidden="false" customHeight="false" outlineLevel="0" collapsed="false">
      <c r="A23" s="21" t="s">
        <v>105</v>
      </c>
      <c r="B23" s="21" t="s">
        <v>102</v>
      </c>
      <c r="C23" s="21" t="s">
        <v>106</v>
      </c>
      <c r="D23" s="21" t="s">
        <v>35</v>
      </c>
      <c r="E23" s="22" t="s">
        <v>6</v>
      </c>
      <c r="F23" s="23" t="n">
        <v>46203</v>
      </c>
      <c r="G23" s="23"/>
      <c r="H23" s="21" t="str">
        <f aca="true">IF(E23="Concluído","Concluída",IF(F23="","",IF(F23&lt;TODAY(),"Atrasada",IF(F23-TODAY()&lt;=7,"Vence em 7 dias","No prazo"))))</f>
        <v>Concluída</v>
      </c>
      <c r="I23" s="21" t="s">
        <v>104</v>
      </c>
    </row>
    <row r="24" customFormat="false" ht="15" hidden="false" customHeight="false" outlineLevel="0" collapsed="false">
      <c r="A24" s="21" t="s">
        <v>107</v>
      </c>
      <c r="B24" s="21" t="s">
        <v>102</v>
      </c>
      <c r="C24" s="21" t="s">
        <v>108</v>
      </c>
      <c r="D24" s="21" t="s">
        <v>97</v>
      </c>
      <c r="E24" s="22" t="s">
        <v>10</v>
      </c>
      <c r="F24" s="23" t="n">
        <v>46318</v>
      </c>
      <c r="G24" s="23"/>
      <c r="H24" s="21" t="str">
        <f aca="true">IF(E24="Concluído","Concluída",IF(F24="","",IF(F24&lt;TODAY(),"Atrasada",IF(F24-TODAY()&lt;=7,"Vence em 7 dias","No prazo"))))</f>
        <v>No prazo</v>
      </c>
      <c r="I24" s="21" t="s">
        <v>109</v>
      </c>
    </row>
    <row r="25" customFormat="false" ht="15" hidden="false" customHeight="false" outlineLevel="0" collapsed="false">
      <c r="A25" s="21" t="s">
        <v>110</v>
      </c>
      <c r="B25" s="21" t="s">
        <v>102</v>
      </c>
      <c r="C25" s="21" t="s">
        <v>111</v>
      </c>
      <c r="D25" s="21" t="s">
        <v>35</v>
      </c>
      <c r="E25" s="22" t="s">
        <v>10</v>
      </c>
      <c r="F25" s="23" t="n">
        <v>46322</v>
      </c>
      <c r="G25" s="23"/>
      <c r="H25" s="21" t="str">
        <f aca="true">IF(E25="Concluído","Concluída",IF(F25="","",IF(F25&lt;TODAY(),"Atrasada",IF(F25-TODAY()&lt;=7,"Vence em 7 dias","No prazo"))))</f>
        <v>No prazo</v>
      </c>
      <c r="I25" s="21"/>
    </row>
    <row r="26" customFormat="false" ht="15" hidden="false" customHeight="false" outlineLevel="0" collapsed="false">
      <c r="A26" s="21" t="s">
        <v>112</v>
      </c>
      <c r="B26" s="21" t="s">
        <v>113</v>
      </c>
      <c r="C26" s="21" t="s">
        <v>114</v>
      </c>
      <c r="D26" s="21" t="s">
        <v>49</v>
      </c>
      <c r="E26" s="22" t="s">
        <v>6</v>
      </c>
      <c r="F26" s="23" t="n">
        <v>46255</v>
      </c>
      <c r="G26" s="23"/>
      <c r="H26" s="21" t="str">
        <f aca="true">IF(E26="Concluído","Concluída",IF(F26="","",IF(F26&lt;TODAY(),"Atrasada",IF(F26-TODAY()&lt;=7,"Vence em 7 dias","No prazo"))))</f>
        <v>Concluída</v>
      </c>
      <c r="I26" s="21" t="s">
        <v>115</v>
      </c>
    </row>
    <row r="27" customFormat="false" ht="15" hidden="false" customHeight="false" outlineLevel="0" collapsed="false">
      <c r="A27" s="21" t="s">
        <v>116</v>
      </c>
      <c r="B27" s="21" t="s">
        <v>113</v>
      </c>
      <c r="C27" s="21" t="s">
        <v>117</v>
      </c>
      <c r="D27" s="21" t="s">
        <v>49</v>
      </c>
      <c r="E27" s="22" t="s">
        <v>10</v>
      </c>
      <c r="F27" s="23" t="n">
        <v>46311</v>
      </c>
      <c r="G27" s="23"/>
      <c r="H27" s="21" t="str">
        <f aca="true">IF(E27="Concluído","Concluída",IF(F27="","",IF(F27&lt;TODAY(),"Atrasada",IF(F27-TODAY()&lt;=7,"Vence em 7 dias","No prazo"))))</f>
        <v>No prazo</v>
      </c>
      <c r="I27" s="21" t="s">
        <v>118</v>
      </c>
    </row>
    <row r="28" customFormat="false" ht="15" hidden="false" customHeight="false" outlineLevel="0" collapsed="false">
      <c r="A28" s="21" t="s">
        <v>119</v>
      </c>
      <c r="B28" s="21" t="s">
        <v>113</v>
      </c>
      <c r="C28" s="21" t="s">
        <v>120</v>
      </c>
      <c r="D28" s="21" t="s">
        <v>49</v>
      </c>
      <c r="E28" s="22" t="s">
        <v>10</v>
      </c>
      <c r="F28" s="23" t="n">
        <v>46315</v>
      </c>
      <c r="G28" s="23"/>
      <c r="H28" s="21" t="str">
        <f aca="true">IF(E28="Concluído","Concluída",IF(F28="","",IF(F28&lt;TODAY(),"Atrasada",IF(F28-TODAY()&lt;=7,"Vence em 7 dias","No prazo"))))</f>
        <v>No prazo</v>
      </c>
      <c r="I28" s="21" t="s">
        <v>121</v>
      </c>
    </row>
    <row r="29" customFormat="false" ht="15" hidden="false" customHeight="false" outlineLevel="0" collapsed="false">
      <c r="A29" s="21" t="s">
        <v>122</v>
      </c>
      <c r="B29" s="21" t="s">
        <v>113</v>
      </c>
      <c r="C29" s="21" t="s">
        <v>123</v>
      </c>
      <c r="D29" s="21" t="s">
        <v>49</v>
      </c>
      <c r="E29" s="22" t="s">
        <v>10</v>
      </c>
      <c r="F29" s="23" t="n">
        <v>46318</v>
      </c>
      <c r="G29" s="23"/>
      <c r="H29" s="21" t="str">
        <f aca="true">IF(E29="Concluído","Concluída",IF(F29="","",IF(F29&lt;TODAY(),"Atrasada",IF(F29-TODAY()&lt;=7,"Vence em 7 dias","No prazo"))))</f>
        <v>No prazo</v>
      </c>
      <c r="I29" s="21" t="s">
        <v>124</v>
      </c>
    </row>
    <row r="30" customFormat="false" ht="15" hidden="false" customHeight="false" outlineLevel="0" collapsed="false">
      <c r="A30" s="21" t="s">
        <v>125</v>
      </c>
      <c r="B30" s="21" t="s">
        <v>113</v>
      </c>
      <c r="C30" s="21" t="s">
        <v>126</v>
      </c>
      <c r="D30" s="21" t="s">
        <v>49</v>
      </c>
      <c r="E30" s="22" t="s">
        <v>10</v>
      </c>
      <c r="F30" s="23" t="n">
        <v>46318</v>
      </c>
      <c r="G30" s="23"/>
      <c r="H30" s="21" t="str">
        <f aca="true">IF(E30="Concluído","Concluída",IF(F30="","",IF(F30&lt;TODAY(),"Atrasada",IF(F30-TODAY()&lt;=7,"Vence em 7 dias","No prazo"))))</f>
        <v>No prazo</v>
      </c>
      <c r="I30" s="21" t="s">
        <v>127</v>
      </c>
    </row>
    <row r="31" customFormat="false" ht="15" hidden="false" customHeight="false" outlineLevel="0" collapsed="false">
      <c r="A31" s="21" t="s">
        <v>128</v>
      </c>
      <c r="B31" s="21" t="s">
        <v>129</v>
      </c>
      <c r="C31" s="21" t="s">
        <v>130</v>
      </c>
      <c r="D31" s="21" t="s">
        <v>93</v>
      </c>
      <c r="E31" s="22" t="s">
        <v>10</v>
      </c>
      <c r="F31" s="23" t="n">
        <v>46325</v>
      </c>
      <c r="G31" s="23"/>
      <c r="H31" s="21" t="str">
        <f aca="true">IF(E31="Concluído","Concluída",IF(F31="","",IF(F31&lt;TODAY(),"Atrasada",IF(F31-TODAY()&lt;=7,"Vence em 7 dias","No prazo"))))</f>
        <v>No prazo</v>
      </c>
      <c r="I31" s="21" t="s">
        <v>131</v>
      </c>
    </row>
    <row r="32" customFormat="false" ht="15" hidden="false" customHeight="false" outlineLevel="0" collapsed="false">
      <c r="A32" s="21" t="s">
        <v>132</v>
      </c>
      <c r="B32" s="21" t="s">
        <v>129</v>
      </c>
      <c r="C32" s="21" t="s">
        <v>133</v>
      </c>
      <c r="D32" s="21" t="s">
        <v>97</v>
      </c>
      <c r="E32" s="22" t="s">
        <v>10</v>
      </c>
      <c r="F32" s="23" t="n">
        <v>46329</v>
      </c>
      <c r="G32" s="23"/>
      <c r="H32" s="21" t="str">
        <f aca="true">IF(E32="Concluído","Concluída",IF(F32="","",IF(F32&lt;TODAY(),"Atrasada",IF(F32-TODAY()&lt;=7,"Vence em 7 dias","No prazo"))))</f>
        <v>No prazo</v>
      </c>
      <c r="I32" s="21"/>
    </row>
    <row r="33" customFormat="false" ht="15" hidden="false" customHeight="false" outlineLevel="0" collapsed="false">
      <c r="A33" s="21" t="s">
        <v>134</v>
      </c>
      <c r="B33" s="21" t="s">
        <v>129</v>
      </c>
      <c r="C33" s="21" t="s">
        <v>135</v>
      </c>
      <c r="D33" s="21" t="s">
        <v>97</v>
      </c>
      <c r="E33" s="22" t="s">
        <v>10</v>
      </c>
      <c r="F33" s="23" t="n">
        <v>46329</v>
      </c>
      <c r="G33" s="23"/>
      <c r="H33" s="21" t="str">
        <f aca="true">IF(E33="Concluído","Concluída",IF(F33="","",IF(F33&lt;TODAY(),"Atrasada",IF(F33-TODAY()&lt;=7,"Vence em 7 dias","No prazo"))))</f>
        <v>No prazo</v>
      </c>
      <c r="I33" s="21"/>
    </row>
    <row r="34" customFormat="false" ht="15" hidden="false" customHeight="false" outlineLevel="0" collapsed="false">
      <c r="A34" s="21" t="s">
        <v>136</v>
      </c>
      <c r="B34" s="21" t="s">
        <v>137</v>
      </c>
      <c r="C34" s="21" t="s">
        <v>138</v>
      </c>
      <c r="D34" s="21" t="s">
        <v>45</v>
      </c>
      <c r="E34" s="22" t="s">
        <v>10</v>
      </c>
      <c r="F34" s="23" t="n">
        <v>46329</v>
      </c>
      <c r="G34" s="23"/>
      <c r="H34" s="21" t="str">
        <f aca="true">IF(E34="Concluído","Concluída",IF(F34="","",IF(F34&lt;TODAY(),"Atrasada",IF(F34-TODAY()&lt;=7,"Vence em 7 dias","No prazo"))))</f>
        <v>No prazo</v>
      </c>
      <c r="I34" s="21"/>
    </row>
    <row r="35" customFormat="false" ht="15" hidden="false" customHeight="false" outlineLevel="0" collapsed="false">
      <c r="A35" s="21" t="s">
        <v>139</v>
      </c>
      <c r="B35" s="21" t="s">
        <v>137</v>
      </c>
      <c r="C35" s="21" t="s">
        <v>140</v>
      </c>
      <c r="D35" s="21" t="s">
        <v>93</v>
      </c>
      <c r="E35" s="22" t="s">
        <v>10</v>
      </c>
      <c r="F35" s="23" t="n">
        <v>46336</v>
      </c>
      <c r="G35" s="23"/>
      <c r="H35" s="21" t="str">
        <f aca="true">IF(E35="Concluído","Concluída",IF(F35="","",IF(F35&lt;TODAY(),"Atrasada",IF(F35-TODAY()&lt;=7,"Vence em 7 dias","No prazo"))))</f>
        <v>No prazo</v>
      </c>
      <c r="I35" s="21" t="s">
        <v>141</v>
      </c>
    </row>
    <row r="36" customFormat="false" ht="15" hidden="false" customHeight="false" outlineLevel="0" collapsed="false">
      <c r="A36" s="21" t="s">
        <v>142</v>
      </c>
      <c r="B36" s="21" t="s">
        <v>137</v>
      </c>
      <c r="C36" s="21" t="s">
        <v>143</v>
      </c>
      <c r="D36" s="21" t="s">
        <v>97</v>
      </c>
      <c r="E36" s="22" t="s">
        <v>10</v>
      </c>
      <c r="F36" s="23" t="n">
        <v>46338</v>
      </c>
      <c r="G36" s="23"/>
      <c r="H36" s="21" t="str">
        <f aca="true">IF(E36="Concluído","Concluída",IF(F36="","",IF(F36&lt;TODAY(),"Atrasada",IF(F36-TODAY()&lt;=7,"Vence em 7 dias","No prazo"))))</f>
        <v>No prazo</v>
      </c>
      <c r="I36" s="21"/>
    </row>
    <row r="37" customFormat="false" ht="15" hidden="false" customHeight="false" outlineLevel="0" collapsed="false">
      <c r="A37" s="21" t="s">
        <v>144</v>
      </c>
      <c r="B37" s="21" t="s">
        <v>137</v>
      </c>
      <c r="C37" s="21" t="s">
        <v>145</v>
      </c>
      <c r="D37" s="21" t="s">
        <v>146</v>
      </c>
      <c r="E37" s="22" t="s">
        <v>10</v>
      </c>
      <c r="F37" s="23" t="n">
        <v>46339</v>
      </c>
      <c r="G37" s="23"/>
      <c r="H37" s="21" t="str">
        <f aca="true">IF(E37="Concluído","Concluída",IF(F37="","",IF(F37&lt;TODAY(),"Atrasada",IF(F37-TODAY()&lt;=7,"Vence em 7 dias","No prazo"))))</f>
        <v>No prazo</v>
      </c>
      <c r="I37" s="21"/>
    </row>
    <row r="38" customFormat="false" ht="15" hidden="false" customHeight="false" outlineLevel="0" collapsed="false">
      <c r="A38" s="21" t="s">
        <v>147</v>
      </c>
      <c r="B38" s="21" t="s">
        <v>148</v>
      </c>
      <c r="C38" s="21" t="s">
        <v>149</v>
      </c>
      <c r="D38" s="21" t="s">
        <v>35</v>
      </c>
      <c r="E38" s="22" t="s">
        <v>10</v>
      </c>
      <c r="F38" s="23" t="n">
        <v>46332</v>
      </c>
      <c r="G38" s="23"/>
      <c r="H38" s="21" t="str">
        <f aca="true">IF(E38="Concluído","Concluída",IF(F38="","",IF(F38&lt;TODAY(),"Atrasada",IF(F38-TODAY()&lt;=7,"Vence em 7 dias","No prazo"))))</f>
        <v>No prazo</v>
      </c>
      <c r="I38" s="21" t="s">
        <v>150</v>
      </c>
    </row>
    <row r="39" customFormat="false" ht="15" hidden="false" customHeight="false" outlineLevel="0" collapsed="false">
      <c r="A39" s="21" t="s">
        <v>151</v>
      </c>
      <c r="B39" s="21" t="s">
        <v>148</v>
      </c>
      <c r="C39" s="21" t="s">
        <v>152</v>
      </c>
      <c r="D39" s="21" t="s">
        <v>35</v>
      </c>
      <c r="E39" s="22" t="s">
        <v>10</v>
      </c>
      <c r="F39" s="23" t="n">
        <v>46339</v>
      </c>
      <c r="G39" s="23"/>
      <c r="H39" s="21" t="str">
        <f aca="true">IF(E39="Concluído","Concluída",IF(F39="","",IF(F39&lt;TODAY(),"Atrasada",IF(F39-TODAY()&lt;=7,"Vence em 7 dias","No prazo"))))</f>
        <v>No prazo</v>
      </c>
      <c r="I39" s="21"/>
    </row>
    <row r="40" customFormat="false" ht="15" hidden="false" customHeight="false" outlineLevel="0" collapsed="false">
      <c r="A40" s="21" t="s">
        <v>153</v>
      </c>
      <c r="B40" s="21" t="s">
        <v>148</v>
      </c>
      <c r="C40" s="21" t="s">
        <v>154</v>
      </c>
      <c r="D40" s="21" t="s">
        <v>35</v>
      </c>
      <c r="E40" s="22" t="s">
        <v>10</v>
      </c>
      <c r="F40" s="23" t="n">
        <v>46343</v>
      </c>
      <c r="G40" s="23"/>
      <c r="H40" s="21" t="str">
        <f aca="true">IF(E40="Concluído","Concluída",IF(F40="","",IF(F40&lt;TODAY(),"Atrasada",IF(F40-TODAY()&lt;=7,"Vence em 7 dias","No prazo"))))</f>
        <v>No prazo</v>
      </c>
      <c r="I40" s="21"/>
    </row>
    <row r="41" customFormat="false" ht="15" hidden="false" customHeight="false" outlineLevel="0" collapsed="false">
      <c r="A41" s="21" t="s">
        <v>155</v>
      </c>
      <c r="B41" s="21" t="s">
        <v>148</v>
      </c>
      <c r="C41" s="21" t="s">
        <v>156</v>
      </c>
      <c r="D41" s="21" t="s">
        <v>35</v>
      </c>
      <c r="E41" s="22" t="s">
        <v>10</v>
      </c>
      <c r="F41" s="23" t="n">
        <v>46345</v>
      </c>
      <c r="G41" s="23"/>
      <c r="H41" s="21" t="str">
        <f aca="true">IF(E41="Concluído","Concluída",IF(F41="","",IF(F41&lt;TODAY(),"Atrasada",IF(F41-TODAY()&lt;=7,"Vence em 7 dias","No prazo"))))</f>
        <v>No prazo</v>
      </c>
      <c r="I41" s="21" t="s">
        <v>157</v>
      </c>
    </row>
    <row r="42" customFormat="false" ht="15" hidden="false" customHeight="false" outlineLevel="0" collapsed="false">
      <c r="A42" s="21" t="s">
        <v>158</v>
      </c>
      <c r="B42" s="21" t="s">
        <v>148</v>
      </c>
      <c r="C42" s="21" t="s">
        <v>159</v>
      </c>
      <c r="D42" s="21" t="s">
        <v>35</v>
      </c>
      <c r="E42" s="22" t="s">
        <v>10</v>
      </c>
      <c r="F42" s="23" t="n">
        <v>46345</v>
      </c>
      <c r="G42" s="23"/>
      <c r="H42" s="21" t="str">
        <f aca="true">IF(E42="Concluído","Concluída",IF(F42="","",IF(F42&lt;TODAY(),"Atrasada",IF(F42-TODAY()&lt;=7,"Vence em 7 dias","No prazo"))))</f>
        <v>No prazo</v>
      </c>
      <c r="I42" s="21"/>
    </row>
    <row r="43" customFormat="false" ht="15" hidden="false" customHeight="false" outlineLevel="0" collapsed="false">
      <c r="A43" s="21" t="s">
        <v>160</v>
      </c>
      <c r="B43" s="21" t="s">
        <v>148</v>
      </c>
      <c r="C43" s="21" t="s">
        <v>161</v>
      </c>
      <c r="D43" s="21" t="s">
        <v>35</v>
      </c>
      <c r="E43" s="22" t="s">
        <v>10</v>
      </c>
      <c r="F43" s="23" t="n">
        <v>46345</v>
      </c>
      <c r="G43" s="23"/>
      <c r="H43" s="21" t="str">
        <f aca="true">IF(E43="Concluído","Concluída",IF(F43="","",IF(F43&lt;TODAY(),"Atrasada",IF(F43-TODAY()&lt;=7,"Vence em 7 dias","No prazo"))))</f>
        <v>No prazo</v>
      </c>
      <c r="I43" s="21" t="s">
        <v>162</v>
      </c>
    </row>
    <row r="44" customFormat="false" ht="15" hidden="false" customHeight="false" outlineLevel="0" collapsed="false">
      <c r="A44" s="21" t="s">
        <v>163</v>
      </c>
      <c r="B44" s="21" t="s">
        <v>148</v>
      </c>
      <c r="C44" s="21" t="s">
        <v>164</v>
      </c>
      <c r="D44" s="21" t="s">
        <v>62</v>
      </c>
      <c r="E44" s="22" t="s">
        <v>10</v>
      </c>
      <c r="F44" s="23" t="n">
        <v>46349</v>
      </c>
      <c r="G44" s="23"/>
      <c r="H44" s="21" t="str">
        <f aca="true">IF(E44="Concluído","Concluída",IF(F44="","",IF(F44&lt;TODAY(),"Atrasada",IF(F44-TODAY()&lt;=7,"Vence em 7 dias","No prazo"))))</f>
        <v>No prazo</v>
      </c>
      <c r="I44" s="21"/>
    </row>
    <row r="45" customFormat="false" ht="15" hidden="false" customHeight="false" outlineLevel="0" collapsed="false">
      <c r="A45" s="21" t="s">
        <v>165</v>
      </c>
      <c r="B45" s="21" t="s">
        <v>166</v>
      </c>
      <c r="C45" s="21" t="s">
        <v>167</v>
      </c>
      <c r="D45" s="21" t="s">
        <v>146</v>
      </c>
      <c r="E45" s="22" t="s">
        <v>10</v>
      </c>
      <c r="F45" s="23" t="n">
        <v>46350</v>
      </c>
      <c r="G45" s="23"/>
      <c r="H45" s="21" t="str">
        <f aca="true">IF(E45="Concluído","Concluída",IF(F45="","",IF(F45&lt;TODAY(),"Atrasada",IF(F45-TODAY()&lt;=7,"Vence em 7 dias","No prazo"))))</f>
        <v>No prazo</v>
      </c>
      <c r="I45" s="21" t="s">
        <v>168</v>
      </c>
    </row>
    <row r="46" customFormat="false" ht="15" hidden="false" customHeight="false" outlineLevel="0" collapsed="false">
      <c r="A46" s="21" t="s">
        <v>169</v>
      </c>
      <c r="B46" s="21" t="s">
        <v>166</v>
      </c>
      <c r="C46" s="21" t="s">
        <v>170</v>
      </c>
      <c r="D46" s="21" t="s">
        <v>146</v>
      </c>
      <c r="E46" s="22" t="s">
        <v>10</v>
      </c>
      <c r="F46" s="23" t="n">
        <v>46356</v>
      </c>
      <c r="G46" s="23"/>
      <c r="H46" s="21" t="str">
        <f aca="true">IF(E46="Concluído","Concluída",IF(F46="","",IF(F46&lt;TODAY(),"Atrasada",IF(F46-TODAY()&lt;=7,"Vence em 7 dias","No prazo"))))</f>
        <v>No prazo</v>
      </c>
      <c r="I46" s="21"/>
    </row>
    <row r="47" customFormat="false" ht="15" hidden="false" customHeight="false" outlineLevel="0" collapsed="false">
      <c r="A47" s="21" t="s">
        <v>171</v>
      </c>
      <c r="B47" s="21" t="s">
        <v>166</v>
      </c>
      <c r="C47" s="21" t="s">
        <v>172</v>
      </c>
      <c r="D47" s="21" t="s">
        <v>146</v>
      </c>
      <c r="E47" s="22" t="s">
        <v>10</v>
      </c>
      <c r="F47" s="23" t="n">
        <v>46360</v>
      </c>
      <c r="G47" s="23"/>
      <c r="H47" s="21" t="str">
        <f aca="true">IF(E47="Concluído","Concluída",IF(F47="","",IF(F47&lt;TODAY(),"Atrasada",IF(F47-TODAY()&lt;=7,"Vence em 7 dias","No prazo"))))</f>
        <v>No prazo</v>
      </c>
      <c r="I47" s="21" t="s">
        <v>173</v>
      </c>
    </row>
    <row r="48" customFormat="false" ht="15" hidden="false" customHeight="false" outlineLevel="0" collapsed="false">
      <c r="A48" s="21" t="s">
        <v>174</v>
      </c>
      <c r="B48" s="21" t="s">
        <v>166</v>
      </c>
      <c r="C48" s="21" t="s">
        <v>175</v>
      </c>
      <c r="D48" s="21" t="s">
        <v>146</v>
      </c>
      <c r="E48" s="22" t="s">
        <v>10</v>
      </c>
      <c r="F48" s="23" t="n">
        <v>46367</v>
      </c>
      <c r="G48" s="23"/>
      <c r="H48" s="21" t="str">
        <f aca="true">IF(E48="Concluído","Concluída",IF(F48="","",IF(F48&lt;TODAY(),"Atrasada",IF(F48-TODAY()&lt;=7,"Vence em 7 dias","No prazo"))))</f>
        <v>No prazo</v>
      </c>
      <c r="I48" s="21"/>
    </row>
  </sheetData>
  <autoFilter ref="A1:I48"/>
  <conditionalFormatting sqref="E2:E200">
    <cfRule type="cellIs" priority="2" operator="equal" aboveAverage="0" equalAverage="0" bottom="0" percent="0" rank="0" text="" dxfId="1">
      <formula>"Concluído"</formula>
    </cfRule>
    <cfRule type="cellIs" priority="3" operator="equal" aboveAverage="0" equalAverage="0" bottom="0" percent="0" rank="0" text="" dxfId="2">
      <formula>"Em andamento"</formula>
    </cfRule>
    <cfRule type="cellIs" priority="4" operator="equal" aboveAverage="0" equalAverage="0" bottom="0" percent="0" rank="0" text="" dxfId="3">
      <formula>"Pendente"</formula>
    </cfRule>
    <cfRule type="cellIs" priority="5" operator="equal" aboveAverage="0" equalAverage="0" bottom="0" percent="0" rank="0" text="" dxfId="4">
      <formula>"Bloqueado"</formula>
    </cfRule>
  </conditionalFormatting>
  <conditionalFormatting sqref="H2:H200">
    <cfRule type="cellIs" priority="6" operator="equal" aboveAverage="0" equalAverage="0" bottom="0" percent="0" rank="0" text="" dxfId="0">
      <formula>"Atrasada"</formula>
    </cfRule>
    <cfRule type="cellIs" priority="7" operator="equal" aboveAverage="0" equalAverage="0" bottom="0" percent="0" rank="0" text="" dxfId="2">
      <formula>"Vence em 7 dias"</formula>
    </cfRule>
    <cfRule type="cellIs" priority="8" operator="equal" aboveAverage="0" equalAverage="0" bottom="0" percent="0" rank="0" text="" dxfId="13">
      <formula>"Concluída"</formula>
    </cfRule>
  </conditionalFormatting>
  <dataValidations count="2">
    <dataValidation allowBlank="true" errorStyle="stop" operator="between" showDropDown="false" showErrorMessage="false" showInputMessage="false" sqref="E2:E200" type="list">
      <formula1>"Concluído,Em andamento,Pendente,Bloqueado"</formula1>
      <formula2>0</formula2>
    </dataValidation>
    <dataValidation allowBlank="true" errorStyle="stop" operator="between" showDropDown="false" showErrorMessage="false" showInputMessage="false" sqref="B2:B200" type="list">
      <formula1>Milestones!$A$2:$A$11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6" t="s">
        <v>16</v>
      </c>
      <c r="B1" s="16" t="s">
        <v>176</v>
      </c>
      <c r="C1" s="16" t="s">
        <v>17</v>
      </c>
      <c r="D1" s="16" t="s">
        <v>177</v>
      </c>
      <c r="E1" s="16" t="s">
        <v>178</v>
      </c>
      <c r="F1" s="16" t="s">
        <v>179</v>
      </c>
      <c r="G1" s="16" t="s">
        <v>180</v>
      </c>
      <c r="H1" s="16" t="s">
        <v>8</v>
      </c>
      <c r="I1" s="16" t="s">
        <v>181</v>
      </c>
      <c r="J1" s="16" t="s">
        <v>18</v>
      </c>
      <c r="K1" s="16" t="s">
        <v>19</v>
      </c>
      <c r="L1" s="16" t="s">
        <v>20</v>
      </c>
      <c r="M1" s="16" t="s">
        <v>182</v>
      </c>
      <c r="N1" s="16" t="s">
        <v>21</v>
      </c>
    </row>
    <row r="2" customFormat="false" ht="15" hidden="false" customHeight="false" outlineLevel="0" collapsed="false">
      <c r="A2" s="21" t="s">
        <v>33</v>
      </c>
      <c r="B2" s="21" t="s">
        <v>183</v>
      </c>
      <c r="C2" s="21" t="s">
        <v>184</v>
      </c>
      <c r="D2" s="21" t="s">
        <v>185</v>
      </c>
      <c r="E2" s="21" t="s">
        <v>186</v>
      </c>
      <c r="F2" s="21" t="n">
        <f aca="false">COUNTIF(Tarefas!$B$2:$B$200,A2)</f>
        <v>3</v>
      </c>
      <c r="G2" s="21" t="n">
        <f aca="false">COUNTIFS(Tarefas!$B$2:$B$200,A2,Tarefas!$E$2:$E$200,"Concluído")</f>
        <v>3</v>
      </c>
      <c r="H2" s="21" t="n">
        <f aca="false">COUNTIFS(Tarefas!$B$2:$B$200,A2,Tarefas!$E$2:$E$200,"Em andamento")</f>
        <v>0</v>
      </c>
      <c r="I2" s="21" t="n">
        <f aca="false">COUNTIFS(Tarefas!$B$2:$B$200,A2,Tarefas!$E$2:$E$200,"Bloqueado")</f>
        <v>0</v>
      </c>
      <c r="J2" s="24" t="n">
        <f aca="false">IF(F2=0,0,G2/F2)</f>
        <v>1</v>
      </c>
      <c r="K2" s="21" t="str">
        <f aca="false">IF(F2=0,"Pendente",IF(G2=F2,"Concluído",IF(I2&gt;0,"Bloqueado",IF(G2+H2&gt;0,"Em andamento","Pendente"))))</f>
        <v>Concluído</v>
      </c>
      <c r="L2" s="25" t="n">
        <f aca="false">_xlfn.MAXIFS(Tarefas!$F$2:$F$200,Tarefas!$B$2:$B$200,A2)</f>
        <v>46203</v>
      </c>
      <c r="M2" s="26" t="str">
        <f aca="true">IF(K2="Concluído","",L2-TODAY())</f>
        <v/>
      </c>
      <c r="N2" s="21" t="str">
        <f aca="false">IF(K2="Concluído","Concluído",IF(M2&lt;0,"Atrasado",IF(M2&lt;=7,"Atenção","No prazo")))</f>
        <v>Concluído</v>
      </c>
    </row>
    <row r="3" customFormat="false" ht="15" hidden="false" customHeight="false" outlineLevel="0" collapsed="false">
      <c r="A3" s="21" t="s">
        <v>43</v>
      </c>
      <c r="B3" s="21" t="s">
        <v>187</v>
      </c>
      <c r="C3" s="21" t="s">
        <v>188</v>
      </c>
      <c r="D3" s="21" t="s">
        <v>189</v>
      </c>
      <c r="E3" s="21" t="s">
        <v>190</v>
      </c>
      <c r="F3" s="21" t="n">
        <f aca="false">COUNTIF(Tarefas!$B$2:$B$200,A3)</f>
        <v>6</v>
      </c>
      <c r="G3" s="21" t="n">
        <f aca="false">COUNTIFS(Tarefas!$B$2:$B$200,A3,Tarefas!$E$2:$E$200,"Concluído")</f>
        <v>2</v>
      </c>
      <c r="H3" s="21" t="n">
        <f aca="false">COUNTIFS(Tarefas!$B$2:$B$200,A3,Tarefas!$E$2:$E$200,"Em andamento")</f>
        <v>0</v>
      </c>
      <c r="I3" s="21" t="n">
        <f aca="false">COUNTIFS(Tarefas!$B$2:$B$200,A3,Tarefas!$E$2:$E$200,"Bloqueado")</f>
        <v>0</v>
      </c>
      <c r="J3" s="24" t="n">
        <f aca="false">IF(F3=0,0,G3/F3)</f>
        <v>0.333333333333333</v>
      </c>
      <c r="K3" s="21" t="str">
        <f aca="false">IF(F3=0,"Pendente",IF(G3=F3,"Concluído",IF(I3&gt;0,"Bloqueado",IF(G3+H3&gt;0,"Em andamento","Pendente"))))</f>
        <v>Em andamento</v>
      </c>
      <c r="L3" s="25" t="n">
        <f aca="false">_xlfn.MAXIFS(Tarefas!$F$2:$F$200,Tarefas!$B$2:$B$200,A3)</f>
        <v>46311</v>
      </c>
      <c r="M3" s="26" t="n">
        <f aca="true">IF(K3="Concluído","",L3-TODAY())</f>
        <v>21</v>
      </c>
      <c r="N3" s="21" t="str">
        <f aca="false">IF(K3="Concluído","Concluído",IF(M3&lt;0,"Atrasado",IF(M3&lt;=7,"Atenção","No prazo")))</f>
        <v>No prazo</v>
      </c>
    </row>
    <row r="4" customFormat="false" ht="15" hidden="false" customHeight="false" outlineLevel="0" collapsed="false">
      <c r="A4" s="21" t="s">
        <v>65</v>
      </c>
      <c r="B4" s="21" t="s">
        <v>191</v>
      </c>
      <c r="C4" s="21" t="s">
        <v>192</v>
      </c>
      <c r="D4" s="21" t="s">
        <v>193</v>
      </c>
      <c r="E4" s="21" t="s">
        <v>194</v>
      </c>
      <c r="F4" s="21" t="n">
        <f aca="false">COUNTIF(Tarefas!$B$2:$B$200,A4)</f>
        <v>6</v>
      </c>
      <c r="G4" s="21" t="n">
        <f aca="false">COUNTIFS(Tarefas!$B$2:$B$200,A4,Tarefas!$E$2:$E$200,"Concluído")</f>
        <v>3</v>
      </c>
      <c r="H4" s="21" t="n">
        <f aca="false">COUNTIFS(Tarefas!$B$2:$B$200,A4,Tarefas!$E$2:$E$200,"Em andamento")</f>
        <v>0</v>
      </c>
      <c r="I4" s="21" t="n">
        <f aca="false">COUNTIFS(Tarefas!$B$2:$B$200,A4,Tarefas!$E$2:$E$200,"Bloqueado")</f>
        <v>0</v>
      </c>
      <c r="J4" s="24" t="n">
        <f aca="false">IF(F4=0,0,G4/F4)</f>
        <v>0.5</v>
      </c>
      <c r="K4" s="21" t="str">
        <f aca="false">IF(F4=0,"Pendente",IF(G4=F4,"Concluído",IF(I4&gt;0,"Bloqueado",IF(G4+H4&gt;0,"Em andamento","Pendente"))))</f>
        <v>Em andamento</v>
      </c>
      <c r="L4" s="25" t="n">
        <f aca="false">_xlfn.MAXIFS(Tarefas!$F$2:$F$200,Tarefas!$B$2:$B$200,A4)</f>
        <v>46297</v>
      </c>
      <c r="M4" s="26" t="n">
        <f aca="true">IF(K4="Concluído","",L4-TODAY())</f>
        <v>7</v>
      </c>
      <c r="N4" s="21" t="str">
        <f aca="false">IF(K4="Concluído","Concluído",IF(M4&lt;0,"Atrasado",IF(M4&lt;=7,"Atenção","No prazo")))</f>
        <v>Atenção</v>
      </c>
    </row>
    <row r="5" customFormat="false" ht="15" hidden="false" customHeight="false" outlineLevel="0" collapsed="false">
      <c r="A5" s="21" t="s">
        <v>85</v>
      </c>
      <c r="B5" s="21" t="s">
        <v>191</v>
      </c>
      <c r="C5" s="21" t="s">
        <v>195</v>
      </c>
      <c r="D5" s="21" t="s">
        <v>196</v>
      </c>
      <c r="E5" s="21" t="s">
        <v>197</v>
      </c>
      <c r="F5" s="21" t="n">
        <f aca="false">COUNTIF(Tarefas!$B$2:$B$200,A5)</f>
        <v>5</v>
      </c>
      <c r="G5" s="21" t="n">
        <f aca="false">COUNTIFS(Tarefas!$B$2:$B$200,A5,Tarefas!$E$2:$E$200,"Concluído")</f>
        <v>2</v>
      </c>
      <c r="H5" s="21" t="n">
        <f aca="false">COUNTIFS(Tarefas!$B$2:$B$200,A5,Tarefas!$E$2:$E$200,"Em andamento")</f>
        <v>0</v>
      </c>
      <c r="I5" s="21" t="n">
        <f aca="false">COUNTIFS(Tarefas!$B$2:$B$200,A5,Tarefas!$E$2:$E$200,"Bloqueado")</f>
        <v>0</v>
      </c>
      <c r="J5" s="24" t="n">
        <f aca="false">IF(F5=0,0,G5/F5)</f>
        <v>0.4</v>
      </c>
      <c r="K5" s="21" t="str">
        <f aca="false">IF(F5=0,"Pendente",IF(G5=F5,"Concluído",IF(I5&gt;0,"Bloqueado",IF(G5+H5&gt;0,"Em andamento","Pendente"))))</f>
        <v>Em andamento</v>
      </c>
      <c r="L5" s="25" t="n">
        <f aca="false">_xlfn.MAXIFS(Tarefas!$F$2:$F$200,Tarefas!$B$2:$B$200,A5)</f>
        <v>46318</v>
      </c>
      <c r="M5" s="26" t="n">
        <f aca="true">IF(K5="Concluído","",L5-TODAY())</f>
        <v>28</v>
      </c>
      <c r="N5" s="21" t="str">
        <f aca="false">IF(K5="Concluído","Concluído",IF(M5&lt;0,"Atrasado",IF(M5&lt;=7,"Atenção","No prazo")))</f>
        <v>No prazo</v>
      </c>
    </row>
    <row r="6" customFormat="false" ht="15" hidden="false" customHeight="false" outlineLevel="0" collapsed="false">
      <c r="A6" s="21" t="s">
        <v>102</v>
      </c>
      <c r="B6" s="21" t="s">
        <v>198</v>
      </c>
      <c r="C6" s="21" t="s">
        <v>199</v>
      </c>
      <c r="D6" s="21" t="s">
        <v>200</v>
      </c>
      <c r="E6" s="21" t="s">
        <v>201</v>
      </c>
      <c r="F6" s="21" t="n">
        <f aca="false">COUNTIF(Tarefas!$B$2:$B$200,A6)</f>
        <v>4</v>
      </c>
      <c r="G6" s="21" t="n">
        <f aca="false">COUNTIFS(Tarefas!$B$2:$B$200,A6,Tarefas!$E$2:$E$200,"Concluído")</f>
        <v>2</v>
      </c>
      <c r="H6" s="21" t="n">
        <f aca="false">COUNTIFS(Tarefas!$B$2:$B$200,A6,Tarefas!$E$2:$E$200,"Em andamento")</f>
        <v>0</v>
      </c>
      <c r="I6" s="21" t="n">
        <f aca="false">COUNTIFS(Tarefas!$B$2:$B$200,A6,Tarefas!$E$2:$E$200,"Bloqueado")</f>
        <v>0</v>
      </c>
      <c r="J6" s="24" t="n">
        <f aca="false">IF(F6=0,0,G6/F6)</f>
        <v>0.5</v>
      </c>
      <c r="K6" s="21" t="str">
        <f aca="false">IF(F6=0,"Pendente",IF(G6=F6,"Concluído",IF(I6&gt;0,"Bloqueado",IF(G6+H6&gt;0,"Em andamento","Pendente"))))</f>
        <v>Em andamento</v>
      </c>
      <c r="L6" s="25" t="n">
        <f aca="false">_xlfn.MAXIFS(Tarefas!$F$2:$F$200,Tarefas!$B$2:$B$200,A6)</f>
        <v>46322</v>
      </c>
      <c r="M6" s="26" t="n">
        <f aca="true">IF(K6="Concluído","",L6-TODAY())</f>
        <v>32</v>
      </c>
      <c r="N6" s="21" t="str">
        <f aca="false">IF(K6="Concluído","Concluído",IF(M6&lt;0,"Atrasado",IF(M6&lt;=7,"Atenção","No prazo")))</f>
        <v>No prazo</v>
      </c>
    </row>
    <row r="7" customFormat="false" ht="15" hidden="false" customHeight="false" outlineLevel="0" collapsed="false">
      <c r="A7" s="21" t="s">
        <v>113</v>
      </c>
      <c r="B7" s="21" t="s">
        <v>202</v>
      </c>
      <c r="C7" s="21" t="s">
        <v>203</v>
      </c>
      <c r="D7" s="21" t="s">
        <v>204</v>
      </c>
      <c r="E7" s="21" t="s">
        <v>205</v>
      </c>
      <c r="F7" s="21" t="n">
        <f aca="false">COUNTIF(Tarefas!$B$2:$B$200,A7)</f>
        <v>5</v>
      </c>
      <c r="G7" s="21" t="n">
        <f aca="false">COUNTIFS(Tarefas!$B$2:$B$200,A7,Tarefas!$E$2:$E$200,"Concluído")</f>
        <v>1</v>
      </c>
      <c r="H7" s="21" t="n">
        <f aca="false">COUNTIFS(Tarefas!$B$2:$B$200,A7,Tarefas!$E$2:$E$200,"Em andamento")</f>
        <v>0</v>
      </c>
      <c r="I7" s="21" t="n">
        <f aca="false">COUNTIFS(Tarefas!$B$2:$B$200,A7,Tarefas!$E$2:$E$200,"Bloqueado")</f>
        <v>0</v>
      </c>
      <c r="J7" s="24" t="n">
        <f aca="false">IF(F7=0,0,G7/F7)</f>
        <v>0.2</v>
      </c>
      <c r="K7" s="21" t="str">
        <f aca="false">IF(F7=0,"Pendente",IF(G7=F7,"Concluído",IF(I7&gt;0,"Bloqueado",IF(G7+H7&gt;0,"Em andamento","Pendente"))))</f>
        <v>Em andamento</v>
      </c>
      <c r="L7" s="25" t="n">
        <f aca="false">_xlfn.MAXIFS(Tarefas!$F$2:$F$200,Tarefas!$B$2:$B$200,A7)</f>
        <v>46318</v>
      </c>
      <c r="M7" s="26" t="n">
        <f aca="true">IF(K7="Concluído","",L7-TODAY())</f>
        <v>28</v>
      </c>
      <c r="N7" s="21" t="str">
        <f aca="false">IF(K7="Concluído","Concluído",IF(M7&lt;0,"Atrasado",IF(M7&lt;=7,"Atenção","No prazo")))</f>
        <v>No prazo</v>
      </c>
    </row>
    <row r="8" customFormat="false" ht="15" hidden="false" customHeight="false" outlineLevel="0" collapsed="false">
      <c r="A8" s="21" t="s">
        <v>129</v>
      </c>
      <c r="B8" s="21" t="s">
        <v>131</v>
      </c>
      <c r="C8" s="21" t="s">
        <v>206</v>
      </c>
      <c r="D8" s="21" t="s">
        <v>207</v>
      </c>
      <c r="E8" s="21" t="s">
        <v>208</v>
      </c>
      <c r="F8" s="21" t="n">
        <f aca="false">COUNTIF(Tarefas!$B$2:$B$200,A8)</f>
        <v>3</v>
      </c>
      <c r="G8" s="21" t="n">
        <f aca="false">COUNTIFS(Tarefas!$B$2:$B$200,A8,Tarefas!$E$2:$E$200,"Concluído")</f>
        <v>0</v>
      </c>
      <c r="H8" s="21" t="n">
        <f aca="false">COUNTIFS(Tarefas!$B$2:$B$200,A8,Tarefas!$E$2:$E$200,"Em andamento")</f>
        <v>0</v>
      </c>
      <c r="I8" s="21" t="n">
        <f aca="false">COUNTIFS(Tarefas!$B$2:$B$200,A8,Tarefas!$E$2:$E$200,"Bloqueado")</f>
        <v>0</v>
      </c>
      <c r="J8" s="24" t="n">
        <f aca="false">IF(F8=0,0,G8/F8)</f>
        <v>0</v>
      </c>
      <c r="K8" s="21" t="str">
        <f aca="false">IF(F8=0,"Pendente",IF(G8=F8,"Concluído",IF(I8&gt;0,"Bloqueado",IF(G8+H8&gt;0,"Em andamento","Pendente"))))</f>
        <v>Pendente</v>
      </c>
      <c r="L8" s="25" t="n">
        <f aca="false">_xlfn.MAXIFS(Tarefas!$F$2:$F$200,Tarefas!$B$2:$B$200,A8)</f>
        <v>46329</v>
      </c>
      <c r="M8" s="26" t="n">
        <f aca="true">IF(K8="Concluído","",L8-TODAY())</f>
        <v>39</v>
      </c>
      <c r="N8" s="21" t="str">
        <f aca="false">IF(K8="Concluído","Concluído",IF(M8&lt;0,"Atrasado",IF(M8&lt;=7,"Atenção","No prazo")))</f>
        <v>No prazo</v>
      </c>
    </row>
    <row r="9" customFormat="false" ht="15" hidden="false" customHeight="false" outlineLevel="0" collapsed="false">
      <c r="A9" s="21" t="s">
        <v>137</v>
      </c>
      <c r="B9" s="21" t="s">
        <v>209</v>
      </c>
      <c r="C9" s="21" t="s">
        <v>210</v>
      </c>
      <c r="D9" s="21" t="s">
        <v>211</v>
      </c>
      <c r="E9" s="21" t="s">
        <v>212</v>
      </c>
      <c r="F9" s="21" t="n">
        <f aca="false">COUNTIF(Tarefas!$B$2:$B$200,A9)</f>
        <v>4</v>
      </c>
      <c r="G9" s="21" t="n">
        <f aca="false">COUNTIFS(Tarefas!$B$2:$B$200,A9,Tarefas!$E$2:$E$200,"Concluído")</f>
        <v>0</v>
      </c>
      <c r="H9" s="21" t="n">
        <f aca="false">COUNTIFS(Tarefas!$B$2:$B$200,A9,Tarefas!$E$2:$E$200,"Em andamento")</f>
        <v>0</v>
      </c>
      <c r="I9" s="21" t="n">
        <f aca="false">COUNTIFS(Tarefas!$B$2:$B$200,A9,Tarefas!$E$2:$E$200,"Bloqueado")</f>
        <v>0</v>
      </c>
      <c r="J9" s="24" t="n">
        <f aca="false">IF(F9=0,0,G9/F9)</f>
        <v>0</v>
      </c>
      <c r="K9" s="21" t="str">
        <f aca="false">IF(F9=0,"Pendente",IF(G9=F9,"Concluído",IF(I9&gt;0,"Bloqueado",IF(G9+H9&gt;0,"Em andamento","Pendente"))))</f>
        <v>Pendente</v>
      </c>
      <c r="L9" s="25" t="n">
        <f aca="false">_xlfn.MAXIFS(Tarefas!$F$2:$F$200,Tarefas!$B$2:$B$200,A9)</f>
        <v>46339</v>
      </c>
      <c r="M9" s="26" t="n">
        <f aca="true">IF(K9="Concluído","",L9-TODAY())</f>
        <v>49</v>
      </c>
      <c r="N9" s="21" t="str">
        <f aca="false">IF(K9="Concluído","Concluído",IF(M9&lt;0,"Atrasado",IF(M9&lt;=7,"Atenção","No prazo")))</f>
        <v>No prazo</v>
      </c>
    </row>
    <row r="10" customFormat="false" ht="15" hidden="false" customHeight="false" outlineLevel="0" collapsed="false">
      <c r="A10" s="21" t="s">
        <v>148</v>
      </c>
      <c r="B10" s="21" t="s">
        <v>35</v>
      </c>
      <c r="C10" s="21" t="s">
        <v>213</v>
      </c>
      <c r="D10" s="21" t="s">
        <v>214</v>
      </c>
      <c r="E10" s="21" t="s">
        <v>215</v>
      </c>
      <c r="F10" s="21" t="n">
        <f aca="false">COUNTIF(Tarefas!$B$2:$B$200,A10)</f>
        <v>7</v>
      </c>
      <c r="G10" s="21" t="n">
        <f aca="false">COUNTIFS(Tarefas!$B$2:$B$200,A10,Tarefas!$E$2:$E$200,"Concluído")</f>
        <v>0</v>
      </c>
      <c r="H10" s="21" t="n">
        <f aca="false">COUNTIFS(Tarefas!$B$2:$B$200,A10,Tarefas!$E$2:$E$200,"Em andamento")</f>
        <v>0</v>
      </c>
      <c r="I10" s="21" t="n">
        <f aca="false">COUNTIFS(Tarefas!$B$2:$B$200,A10,Tarefas!$E$2:$E$200,"Bloqueado")</f>
        <v>0</v>
      </c>
      <c r="J10" s="24" t="n">
        <f aca="false">IF(F10=0,0,G10/F10)</f>
        <v>0</v>
      </c>
      <c r="K10" s="21" t="str">
        <f aca="false">IF(F10=0,"Pendente",IF(G10=F10,"Concluído",IF(I10&gt;0,"Bloqueado",IF(G10+H10&gt;0,"Em andamento","Pendente"))))</f>
        <v>Pendente</v>
      </c>
      <c r="L10" s="25" t="n">
        <f aca="false">_xlfn.MAXIFS(Tarefas!$F$2:$F$200,Tarefas!$B$2:$B$200,A10)</f>
        <v>46349</v>
      </c>
      <c r="M10" s="26" t="n">
        <f aca="true">IF(K10="Concluído","",L10-TODAY())</f>
        <v>59</v>
      </c>
      <c r="N10" s="21" t="str">
        <f aca="false">IF(K10="Concluído","Concluído",IF(M10&lt;0,"Atrasado",IF(M10&lt;=7,"Atenção","No prazo")))</f>
        <v>No prazo</v>
      </c>
    </row>
    <row r="11" customFormat="false" ht="15" hidden="false" customHeight="false" outlineLevel="0" collapsed="false">
      <c r="A11" s="21" t="s">
        <v>166</v>
      </c>
      <c r="B11" s="21" t="s">
        <v>146</v>
      </c>
      <c r="C11" s="21" t="s">
        <v>216</v>
      </c>
      <c r="D11" s="21" t="s">
        <v>217</v>
      </c>
      <c r="E11" s="21" t="s">
        <v>218</v>
      </c>
      <c r="F11" s="21" t="n">
        <f aca="false">COUNTIF(Tarefas!$B$2:$B$200,A11)</f>
        <v>4</v>
      </c>
      <c r="G11" s="21" t="n">
        <f aca="false">COUNTIFS(Tarefas!$B$2:$B$200,A11,Tarefas!$E$2:$E$200,"Concluído")</f>
        <v>0</v>
      </c>
      <c r="H11" s="21" t="n">
        <f aca="false">COUNTIFS(Tarefas!$B$2:$B$200,A11,Tarefas!$E$2:$E$200,"Em andamento")</f>
        <v>0</v>
      </c>
      <c r="I11" s="21" t="n">
        <f aca="false">COUNTIFS(Tarefas!$B$2:$B$200,A11,Tarefas!$E$2:$E$200,"Bloqueado")</f>
        <v>0</v>
      </c>
      <c r="J11" s="24" t="n">
        <f aca="false">IF(F11=0,0,G11/F11)</f>
        <v>0</v>
      </c>
      <c r="K11" s="21" t="str">
        <f aca="false">IF(F11=0,"Pendente",IF(G11=F11,"Concluído",IF(I11&gt;0,"Bloqueado",IF(G11+H11&gt;0,"Em andamento","Pendente"))))</f>
        <v>Pendente</v>
      </c>
      <c r="L11" s="25" t="n">
        <f aca="false">_xlfn.MAXIFS(Tarefas!$F$2:$F$200,Tarefas!$B$2:$B$200,A11)</f>
        <v>46367</v>
      </c>
      <c r="M11" s="26" t="n">
        <f aca="true">IF(K11="Concluído","",L11-TODAY())</f>
        <v>77</v>
      </c>
      <c r="N11" s="21" t="str">
        <f aca="false">IF(K11="Concluído","Concluído",IF(M11&lt;0,"Atrasado",IF(M11&lt;=7,"Atenção","No prazo")))</f>
        <v>No prazo</v>
      </c>
    </row>
  </sheetData>
  <conditionalFormatting sqref="J2:J11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{FEF4F818-DA7B-4B59-8D10-32918E463091}</x14:id>
        </ext>
      </extLst>
    </cfRule>
  </conditionalFormatting>
  <conditionalFormatting sqref="K2:K11">
    <cfRule type="cellIs" priority="3" operator="equal" aboveAverage="0" equalAverage="0" bottom="0" percent="0" rank="0" text="" dxfId="1">
      <formula>"Concluído"</formula>
    </cfRule>
    <cfRule type="cellIs" priority="4" operator="equal" aboveAverage="0" equalAverage="0" bottom="0" percent="0" rank="0" text="" dxfId="2">
      <formula>"Em andamento"</formula>
    </cfRule>
    <cfRule type="cellIs" priority="5" operator="equal" aboveAverage="0" equalAverage="0" bottom="0" percent="0" rank="0" text="" dxfId="3">
      <formula>"Pendente"</formula>
    </cfRule>
    <cfRule type="cellIs" priority="6" operator="equal" aboveAverage="0" equalAverage="0" bottom="0" percent="0" rank="0" text="" dxfId="4">
      <formula>"Bloqueado"</formula>
    </cfRule>
  </conditionalFormatting>
  <conditionalFormatting sqref="N2:N11">
    <cfRule type="cellIs" priority="7" operator="equal" aboveAverage="0" equalAverage="0" bottom="0" percent="0" rank="0" text="" dxfId="0">
      <formula>"Atrasado"</formula>
    </cfRule>
    <cfRule type="cellIs" priority="8" operator="equal" aboveAverage="0" equalAverage="0" bottom="0" percent="0" rank="0" text="" dxfId="2">
      <formula>"Atenção"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F4F818-DA7B-4B59-8D10-32918E46309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J2:J11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6" t="s">
        <v>219</v>
      </c>
      <c r="B1" s="16" t="s">
        <v>220</v>
      </c>
      <c r="C1" s="16" t="s">
        <v>221</v>
      </c>
      <c r="D1" s="16" t="s">
        <v>19</v>
      </c>
      <c r="E1" s="16" t="s">
        <v>222</v>
      </c>
    </row>
    <row r="2" customFormat="false" ht="15" hidden="false" customHeight="false" outlineLevel="0" collapsed="false">
      <c r="A2" s="21" t="s">
        <v>185</v>
      </c>
      <c r="B2" s="21" t="s">
        <v>223</v>
      </c>
      <c r="C2" s="21" t="s">
        <v>183</v>
      </c>
      <c r="D2" s="22" t="s">
        <v>6</v>
      </c>
      <c r="E2" s="21" t="s">
        <v>224</v>
      </c>
    </row>
    <row r="3" customFormat="false" ht="15" hidden="false" customHeight="false" outlineLevel="0" collapsed="false">
      <c r="A3" s="21" t="s">
        <v>193</v>
      </c>
      <c r="B3" s="21" t="s">
        <v>225</v>
      </c>
      <c r="C3" s="21" t="s">
        <v>183</v>
      </c>
      <c r="D3" s="22" t="s">
        <v>6</v>
      </c>
      <c r="E3" s="21"/>
    </row>
    <row r="4" customFormat="false" ht="15" hidden="false" customHeight="false" outlineLevel="0" collapsed="false">
      <c r="A4" s="21" t="s">
        <v>189</v>
      </c>
      <c r="B4" s="21" t="s">
        <v>226</v>
      </c>
      <c r="C4" s="21" t="s">
        <v>183</v>
      </c>
      <c r="D4" s="22" t="s">
        <v>6</v>
      </c>
      <c r="E4" s="21"/>
    </row>
    <row r="5" customFormat="false" ht="15" hidden="false" customHeight="false" outlineLevel="0" collapsed="false">
      <c r="A5" s="21" t="s">
        <v>227</v>
      </c>
      <c r="B5" s="21" t="s">
        <v>228</v>
      </c>
      <c r="C5" s="21" t="s">
        <v>183</v>
      </c>
      <c r="D5" s="22" t="s">
        <v>8</v>
      </c>
      <c r="E5" s="21" t="s">
        <v>229</v>
      </c>
    </row>
    <row r="6" customFormat="false" ht="15" hidden="false" customHeight="false" outlineLevel="0" collapsed="false">
      <c r="A6" s="21" t="s">
        <v>230</v>
      </c>
      <c r="B6" s="21" t="s">
        <v>231</v>
      </c>
      <c r="C6" s="21" t="s">
        <v>187</v>
      </c>
      <c r="D6" s="22" t="s">
        <v>8</v>
      </c>
      <c r="E6" s="21" t="s">
        <v>232</v>
      </c>
    </row>
    <row r="7" customFormat="false" ht="15" hidden="false" customHeight="false" outlineLevel="0" collapsed="false">
      <c r="A7" s="21" t="s">
        <v>204</v>
      </c>
      <c r="B7" s="21" t="s">
        <v>233</v>
      </c>
      <c r="C7" s="21" t="s">
        <v>234</v>
      </c>
      <c r="D7" s="22" t="s">
        <v>10</v>
      </c>
      <c r="E7" s="21"/>
    </row>
    <row r="8" customFormat="false" ht="15" hidden="false" customHeight="false" outlineLevel="0" collapsed="false">
      <c r="A8" s="21" t="s">
        <v>211</v>
      </c>
      <c r="B8" s="21" t="s">
        <v>235</v>
      </c>
      <c r="C8" s="21" t="s">
        <v>234</v>
      </c>
      <c r="D8" s="22" t="s">
        <v>10</v>
      </c>
      <c r="E8" s="21"/>
    </row>
    <row r="9" customFormat="false" ht="15" hidden="false" customHeight="false" outlineLevel="0" collapsed="false">
      <c r="A9" s="21" t="s">
        <v>236</v>
      </c>
      <c r="B9" s="21" t="s">
        <v>237</v>
      </c>
      <c r="C9" s="21" t="s">
        <v>234</v>
      </c>
      <c r="D9" s="22" t="s">
        <v>8</v>
      </c>
      <c r="E9" s="21" t="s">
        <v>238</v>
      </c>
    </row>
    <row r="10" customFormat="false" ht="15" hidden="false" customHeight="false" outlineLevel="0" collapsed="false">
      <c r="A10" s="21" t="s">
        <v>217</v>
      </c>
      <c r="B10" s="21" t="s">
        <v>239</v>
      </c>
      <c r="C10" s="21" t="s">
        <v>187</v>
      </c>
      <c r="D10" s="22" t="s">
        <v>8</v>
      </c>
      <c r="E10" s="21" t="s">
        <v>240</v>
      </c>
    </row>
  </sheetData>
  <conditionalFormatting sqref="D2:D10">
    <cfRule type="cellIs" priority="2" operator="equal" aboveAverage="0" equalAverage="0" bottom="0" percent="0" rank="0" text="" dxfId="1">
      <formula>"Concluído"</formula>
    </cfRule>
    <cfRule type="cellIs" priority="3" operator="equal" aboveAverage="0" equalAverage="0" bottom="0" percent="0" rank="0" text="" dxfId="2">
      <formula>"Em andamento"</formula>
    </cfRule>
    <cfRule type="cellIs" priority="4" operator="equal" aboveAverage="0" equalAverage="0" bottom="0" percent="0" rank="0" text="" dxfId="3">
      <formula>"Pendente"</formula>
    </cfRule>
    <cfRule type="cellIs" priority="5" operator="equal" aboveAverage="0" equalAverage="0" bottom="0" percent="0" rank="0" text="" dxfId="4">
      <formula>"Bloqueado"</formula>
    </cfRule>
  </conditionalFormatting>
  <dataValidations count="1">
    <dataValidation allowBlank="true" errorStyle="stop" operator="between" showDropDown="false" showErrorMessage="false" showInputMessage="false" sqref="D2:D10" type="list">
      <formula1>"Concluído,Em andamento,Pendente,Bloqueado"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2026-09-25T11:32:36Z</dcterms:created>
  <dc:creator>openpyxl</dc:creator>
  <dc:description/>
  <dc:language>pt-BR</dc:language>
  <cp:lastModifiedBy/>
  <dcterms:modified xsi:type="dcterms:W3CDTF">2026-09-25T08:32:37Z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